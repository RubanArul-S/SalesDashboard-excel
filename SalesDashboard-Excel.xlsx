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uban Aruldoss\OneDrive\Desktop\EXCEL PROJECT\"/>
    </mc:Choice>
  </mc:AlternateContent>
  <xr:revisionPtr revIDLastSave="0" documentId="13_ncr:1_{619E8D9E-8CF7-4D3B-AF2B-7FBA4F795AE0}" xr6:coauthVersionLast="47" xr6:coauthVersionMax="47" xr10:uidLastSave="{00000000-0000-0000-0000-000000000000}"/>
  <bookViews>
    <workbookView xWindow="-108" yWindow="-108" windowWidth="23256" windowHeight="12456" firstSheet="1" activeTab="2" xr2:uid="{C0893FBD-34B3-420E-B0D6-EC330180DDEA}"/>
  </bookViews>
  <sheets>
    <sheet name="Detail1" sheetId="5" r:id="rId1"/>
    <sheet name="Detail2" sheetId="6" r:id="rId2"/>
    <sheet name="DSH" sheetId="7" r:id="rId3"/>
    <sheet name="PIVOT CHART" sheetId="4" r:id="rId4"/>
    <sheet name="SalesData" sheetId="3" r:id="rId5"/>
  </sheets>
  <definedNames>
    <definedName name="Slicer_Product">#N/A</definedName>
    <definedName name="Slicer_Region">#N/A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3" l="1"/>
  <c r="G51" i="3"/>
  <c r="F51" i="3"/>
  <c r="H51" i="3" s="1"/>
  <c r="G50" i="3"/>
  <c r="F50" i="3"/>
  <c r="H50" i="3" s="1"/>
  <c r="I50" i="3" s="1"/>
  <c r="G49" i="3"/>
  <c r="F49" i="3"/>
  <c r="H49" i="3" s="1"/>
  <c r="H48" i="3"/>
  <c r="I48" i="3" s="1"/>
  <c r="G48" i="3"/>
  <c r="F48" i="3"/>
  <c r="G47" i="3"/>
  <c r="F47" i="3"/>
  <c r="H47" i="3" s="1"/>
  <c r="G46" i="3"/>
  <c r="F46" i="3"/>
  <c r="H46" i="3" s="1"/>
  <c r="G45" i="3"/>
  <c r="F45" i="3"/>
  <c r="H45" i="3" s="1"/>
  <c r="G44" i="3"/>
  <c r="F44" i="3"/>
  <c r="H44" i="3" s="1"/>
  <c r="I44" i="3" s="1"/>
  <c r="G43" i="3"/>
  <c r="F43" i="3"/>
  <c r="H43" i="3" s="1"/>
  <c r="G42" i="3"/>
  <c r="F42" i="3"/>
  <c r="H42" i="3" s="1"/>
  <c r="I42" i="3" s="1"/>
  <c r="G41" i="3"/>
  <c r="F41" i="3"/>
  <c r="H41" i="3" s="1"/>
  <c r="G40" i="3"/>
  <c r="F40" i="3"/>
  <c r="H40" i="3" s="1"/>
  <c r="I40" i="3" s="1"/>
  <c r="G39" i="3"/>
  <c r="F39" i="3"/>
  <c r="H39" i="3" s="1"/>
  <c r="G38" i="3"/>
  <c r="F38" i="3"/>
  <c r="H38" i="3" s="1"/>
  <c r="I38" i="3" s="1"/>
  <c r="G37" i="3"/>
  <c r="F37" i="3"/>
  <c r="H37" i="3" s="1"/>
  <c r="G36" i="3"/>
  <c r="F36" i="3"/>
  <c r="H36" i="3" s="1"/>
  <c r="I36" i="3" s="1"/>
  <c r="G35" i="3"/>
  <c r="F35" i="3"/>
  <c r="H35" i="3" s="1"/>
  <c r="G34" i="3"/>
  <c r="F34" i="3"/>
  <c r="H34" i="3" s="1"/>
  <c r="G33" i="3"/>
  <c r="F33" i="3"/>
  <c r="H33" i="3" s="1"/>
  <c r="G32" i="3"/>
  <c r="F32" i="3"/>
  <c r="H32" i="3" s="1"/>
  <c r="I32" i="3" s="1"/>
  <c r="G31" i="3"/>
  <c r="F31" i="3"/>
  <c r="H31" i="3" s="1"/>
  <c r="I31" i="3" s="1"/>
  <c r="G30" i="3"/>
  <c r="F30" i="3"/>
  <c r="H30" i="3" s="1"/>
  <c r="I30" i="3" s="1"/>
  <c r="G29" i="3"/>
  <c r="F29" i="3"/>
  <c r="H29" i="3" s="1"/>
  <c r="G28" i="3"/>
  <c r="F28" i="3"/>
  <c r="H28" i="3" s="1"/>
  <c r="I28" i="3" s="1"/>
  <c r="G27" i="3"/>
  <c r="F27" i="3"/>
  <c r="H27" i="3" s="1"/>
  <c r="G26" i="3"/>
  <c r="F26" i="3"/>
  <c r="H26" i="3" s="1"/>
  <c r="G25" i="3"/>
  <c r="F25" i="3"/>
  <c r="H25" i="3" s="1"/>
  <c r="G24" i="3"/>
  <c r="F24" i="3"/>
  <c r="H24" i="3" s="1"/>
  <c r="I24" i="3" s="1"/>
  <c r="G23" i="3"/>
  <c r="F23" i="3"/>
  <c r="H23" i="3" s="1"/>
  <c r="I23" i="3" s="1"/>
  <c r="G22" i="3"/>
  <c r="F22" i="3"/>
  <c r="H22" i="3" s="1"/>
  <c r="G21" i="3"/>
  <c r="F21" i="3"/>
  <c r="H21" i="3" s="1"/>
  <c r="G20" i="3"/>
  <c r="F20" i="3"/>
  <c r="H20" i="3" s="1"/>
  <c r="G19" i="3"/>
  <c r="F19" i="3"/>
  <c r="H19" i="3" s="1"/>
  <c r="G18" i="3"/>
  <c r="F18" i="3"/>
  <c r="H18" i="3" s="1"/>
  <c r="G17" i="3"/>
  <c r="F17" i="3"/>
  <c r="H17" i="3" s="1"/>
  <c r="I17" i="3" s="1"/>
  <c r="G16" i="3"/>
  <c r="F16" i="3"/>
  <c r="H16" i="3" s="1"/>
  <c r="H15" i="3"/>
  <c r="G15" i="3"/>
  <c r="F15" i="3"/>
  <c r="G14" i="3"/>
  <c r="F14" i="3"/>
  <c r="H14" i="3" s="1"/>
  <c r="G13" i="3"/>
  <c r="F13" i="3"/>
  <c r="H13" i="3" s="1"/>
  <c r="G12" i="3"/>
  <c r="F12" i="3"/>
  <c r="H12" i="3" s="1"/>
  <c r="G11" i="3"/>
  <c r="F11" i="3"/>
  <c r="H11" i="3" s="1"/>
  <c r="G10" i="3"/>
  <c r="F10" i="3"/>
  <c r="H10" i="3" s="1"/>
  <c r="I10" i="3" s="1"/>
  <c r="G9" i="3"/>
  <c r="F9" i="3"/>
  <c r="H9" i="3" s="1"/>
  <c r="G8" i="3"/>
  <c r="F8" i="3"/>
  <c r="H8" i="3" s="1"/>
  <c r="G7" i="3"/>
  <c r="F7" i="3"/>
  <c r="H7" i="3" s="1"/>
  <c r="G6" i="3"/>
  <c r="F6" i="3"/>
  <c r="H6" i="3" s="1"/>
  <c r="I6" i="3" s="1"/>
  <c r="G5" i="3"/>
  <c r="F5" i="3"/>
  <c r="H5" i="3" s="1"/>
  <c r="I5" i="3" s="1"/>
  <c r="G4" i="3"/>
  <c r="F4" i="3"/>
  <c r="H4" i="3" s="1"/>
  <c r="K11" i="3" s="1"/>
  <c r="G3" i="3"/>
  <c r="F3" i="3"/>
  <c r="H3" i="3" s="1"/>
  <c r="G2" i="3"/>
  <c r="F2" i="3"/>
  <c r="H2" i="3" s="1"/>
  <c r="I22" i="3" l="1"/>
  <c r="I13" i="3"/>
  <c r="I47" i="3"/>
  <c r="I15" i="3"/>
  <c r="I14" i="3"/>
  <c r="I3" i="3"/>
  <c r="I7" i="3"/>
  <c r="I11" i="3"/>
  <c r="I18" i="3"/>
  <c r="I25" i="3"/>
  <c r="I29" i="3"/>
  <c r="I37" i="3"/>
  <c r="I41" i="3"/>
  <c r="I20" i="3"/>
  <c r="I35" i="3"/>
  <c r="I46" i="3"/>
  <c r="I49" i="3"/>
  <c r="I21" i="3"/>
  <c r="I39" i="3"/>
  <c r="I43" i="3"/>
  <c r="I8" i="3"/>
  <c r="I19" i="3"/>
  <c r="I26" i="3"/>
  <c r="I33" i="3"/>
  <c r="I51" i="3"/>
  <c r="I9" i="3"/>
  <c r="I12" i="3"/>
  <c r="I16" i="3"/>
  <c r="I27" i="3"/>
  <c r="I34" i="3"/>
  <c r="I45" i="3"/>
  <c r="K2" i="3"/>
  <c r="I2" i="3"/>
  <c r="I4" i="3"/>
  <c r="K8" i="3" l="1"/>
</calcChain>
</file>

<file path=xl/sharedStrings.xml><?xml version="1.0" encoding="utf-8"?>
<sst xmlns="http://schemas.openxmlformats.org/spreadsheetml/2006/main" count="275" uniqueCount="41">
  <si>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</si>
  <si>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</si>
  <si>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</si>
  <si>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</si>
  <si>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</si>
  <si>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</si>
  <si>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</si>
  <si>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</si>
  <si>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</si>
  <si>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</si>
  <si>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</si>
  <si>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</si>
  <si>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</si>
  <si>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</si>
  <si>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</si>
  <si>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</si>
  <si>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</si>
  <si>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</si>
  <si>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</si>
  <si>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</si>
  <si>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</si>
  <si>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</si>
  <si>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</si>
  <si>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</si>
  <si>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</si>
  <si>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</si>
  <si>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</si>
  <si>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</si>
  <si>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</si>
  <si>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Total profit</t>
  </si>
  <si>
    <t>Total Sale</t>
  </si>
  <si>
    <t>Unit Sold</t>
  </si>
  <si>
    <t xml:space="preserve">Total profit </t>
  </si>
  <si>
    <t>AVG</t>
  </si>
  <si>
    <t>Row Labels</t>
  </si>
  <si>
    <t>Grand Total</t>
  </si>
  <si>
    <t>Sum of Total Sales</t>
  </si>
  <si>
    <t>Details for Sum of Total Sales - Region: East</t>
  </si>
  <si>
    <t>Sum of Units Sold</t>
  </si>
  <si>
    <t xml:space="preserve"> </t>
  </si>
  <si>
    <t>Details for Sum of Total Sales - Sales Person: Megan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</si>
</sst>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Rs.&quot;\ * #,##0_ ;_ &quot;Rs.&quot;\ * \-#,##0_ ;_ &quot;Rs.&quot;\ * &quot;-&quot;_ ;_ @_ "/>
    <numFmt numFmtId="165" formatCode="_ &quot;Rs.&quot;\ * #,##0_ ;_ &quot;Rs.&quot;\ * \-#,##0_ ;_ &quot;Rs.&quot;\ * &quot;-&quot;_ ;_ @_ &quot;L&quot;"/>
    <numFmt numFmtId="166" formatCode="&quot;₹&quot;\ #,##0.00"/>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applyAlignment="1">
      <alignment horizontal="left"/>
    </xf>
    <xf numFmtId="0" fontId="0" fillId="0" borderId="0" xfId="0" pivotButton="1"/>
    <xf numFmtId="165" fontId="0" fillId="0" borderId="0" xfId="0" applyNumberFormat="1"/>
    <xf numFmtId="14" fontId="0" fillId="0" borderId="0" xfId="0" applyNumberFormat="1"/>
    <xf numFmtId="0" fontId="3" fillId="0" borderId="0" xfId="0" applyFont="1"/>
    <xf numFmtId="165" fontId="3" fillId="0" borderId="0" xfId="0" applyNumberFormat="1" applyFont="1"/>
    <xf numFmtId="44" fontId="0" fillId="0" borderId="0" xfId="1" applyFont="1" applyAlignment="1">
      <alignment horizontal="center"/>
    </xf>
    <xf numFmtId="44" fontId="0" fillId="0" borderId="0" xfId="1" applyFont="1"/>
    <xf numFmtId="44" fontId="0" fillId="0" borderId="0" xfId="1" applyFont="1" applyAlignment="1">
      <alignment horizontal="left"/>
    </xf>
    <xf numFmtId="44" fontId="2" fillId="2" borderId="1" xfId="1" applyFont="1" applyFill="1" applyBorder="1" applyAlignment="1">
      <alignment horizontal="center" vertical="center"/>
    </xf>
    <xf numFmtId="166" fontId="0" fillId="0" borderId="0" xfId="1" applyNumberFormat="1" applyFont="1"/>
  </cellXfs>
  <cellStyles count="2">
    <cellStyle name="Currency" xfId="1" builtinId="4"/>
    <cellStyle name="Normal" xfId="0" builtinId="0"/>
  </cellStyles>
  <dxfs count="13">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font>
    </dxf>
    <dxf>
      <numFmt numFmtId="19" formatCode="dd/mm/yyyy"/>
    </dxf>
    <dxf>
      <numFmt numFmtId="19" formatCode="dd/mm/yyyy"/>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CHART!PivotTable4</c:name>
    <c:fmtId val="14"/>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51613346148564E-2"/>
          <c:y val="6.3513964830747685E-2"/>
          <c:w val="0.89195293666139197"/>
          <c:h val="0.85242357321249729"/>
        </c:manualLayout>
      </c:layout>
      <c:lineChart>
        <c:grouping val="standard"/>
        <c:varyColors val="0"/>
        <c:ser>
          <c:idx val="0"/>
          <c:order val="0"/>
          <c:tx>
            <c:strRef>
              <c:f>'PIVOT CHART'!$K$3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CHART'!$J$4:$J$11</c:f>
              <c:strCache>
                <c:ptCount val="7"/>
                <c:pt idx="0">
                  <c:v>Action Figure</c:v>
                </c:pt>
                <c:pt idx="1">
                  <c:v>Blender</c:v>
                </c:pt>
                <c:pt idx="2">
                  <c:v>Moisturizer</c:v>
                </c:pt>
                <c:pt idx="3">
                  <c:v>Novel</c:v>
                </c:pt>
                <c:pt idx="4">
                  <c:v>Smartphone</c:v>
                </c:pt>
                <c:pt idx="5">
                  <c:v>Sneakers</c:v>
                </c:pt>
                <c:pt idx="6">
                  <c:v>Tent</c:v>
                </c:pt>
              </c:strCache>
            </c:strRef>
          </c:cat>
          <c:val>
            <c:numRef>
              <c:f>'PIVOT CHART'!$K$4:$K$11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8B25-4642-9F76-EEA04E7091E9}"/>
            </c:ext>
          </c:extLst>
        </c:ser>
        <c:dLbls>
          <c:dLblPos val="ctr"/>
          <c:showLegendKey val="0"/>
          <c:showVal val="1"/>
          <c:showCatName val="0"/>
          <c:showSerName val="0"/>
          <c:showPercent val="0"/>
          <c:showBubbleSize val="0"/>
        </c:dLbls>
        <c:marker val="1"/>
        <c:smooth val="0"/>
        <c:axId val="678480959"/>
        <c:axId val="678485279"/>
      </c:lineChart>
      <c:catAx>
        <c:axId val="678480959"/>
        <c:scaling>
          <c:orientation val="minMax"/>
        </c:scaling>
        <c:delete val="1"/>
        <c:axPos val="b"/>
        <c:numFmt formatCode="General" sourceLinked="1"/>
        <c:majorTickMark val="none"/>
        <c:minorTickMark val="none"/>
        <c:tickLblPos val="nextTo"/>
        <c:crossAx val="678485279"/>
        <c:crosses val="autoZero"/>
        <c:auto val="1"/>
        <c:lblAlgn val="ctr"/>
        <c:lblOffset val="100"/>
        <c:noMultiLvlLbl val="0"/>
      </c:catAx>
      <c:valAx>
        <c:axId val="678485279"/>
        <c:scaling>
          <c:orientation val="minMax"/>
        </c:scaling>
        <c:delete val="1"/>
        <c:axPos val="l"/>
        <c:numFmt formatCode="General" sourceLinked="1"/>
        <c:majorTickMark val="none"/>
        <c:minorTickMark val="none"/>
        <c:tickLblPos val="nextTo"/>
        <c:crossAx val="678480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CHART!PivotTable1</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latin typeface="Book Antiqua" panose="02040602050305030304" pitchFamily="18" charset="0"/>
              </a:rPr>
              <a:t>Total Sales by Region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3A-4AAC-9CDB-A48E4184A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3A-4AAC-9CDB-A48E4184A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3A-4AAC-9CDB-A48E4184A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3A-4AAC-9CDB-A48E4184A037}"/>
              </c:ext>
            </c:extLst>
          </c:dPt>
          <c:dLbls>
            <c:dLbl>
              <c:idx val="0"/>
              <c:layout>
                <c:manualLayout>
                  <c:x val="0.12777777777777768"/>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3A-4AAC-9CDB-A48E4184A037}"/>
                </c:ext>
              </c:extLst>
            </c:dLbl>
            <c:dLbl>
              <c:idx val="1"/>
              <c:layout>
                <c:manualLayout>
                  <c:x val="9.1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3A-4AAC-9CDB-A48E4184A037}"/>
                </c:ext>
              </c:extLst>
            </c:dLbl>
            <c:dLbl>
              <c:idx val="2"/>
              <c:layout>
                <c:manualLayout>
                  <c:x val="-0.11388888888888891"/>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3A-4AAC-9CDB-A48E4184A037}"/>
                </c:ext>
              </c:extLst>
            </c:dLbl>
            <c:dLbl>
              <c:idx val="3"/>
              <c:layout>
                <c:manualLayout>
                  <c:x val="-0.12500000000000003"/>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3A-4AAC-9CDB-A48E4184A0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CHART'!$A$4:$A$8</c:f>
              <c:strCache>
                <c:ptCount val="4"/>
                <c:pt idx="0">
                  <c:v>East</c:v>
                </c:pt>
                <c:pt idx="1">
                  <c:v>North</c:v>
                </c:pt>
                <c:pt idx="2">
                  <c:v>South</c:v>
                </c:pt>
                <c:pt idx="3">
                  <c:v>West</c:v>
                </c:pt>
              </c:strCache>
            </c:strRef>
          </c:cat>
          <c:val>
            <c:numRef>
              <c:f>'PIVOT CHART'!$B$4:$B$8</c:f>
              <c:numCache>
                <c:formatCode>_ "Rs."\ * #,##0_ ;_ "Rs."\ * \-#,##0_ ;_ "Rs."\ * "-"_ ;_ @_ "L"</c:formatCode>
                <c:ptCount val="4"/>
                <c:pt idx="0">
                  <c:v>3534400</c:v>
                </c:pt>
                <c:pt idx="1">
                  <c:v>2661400</c:v>
                </c:pt>
                <c:pt idx="2">
                  <c:v>2870600</c:v>
                </c:pt>
                <c:pt idx="3">
                  <c:v>3878100</c:v>
                </c:pt>
              </c:numCache>
            </c:numRef>
          </c:val>
          <c:extLst>
            <c:ext xmlns:c16="http://schemas.microsoft.com/office/drawing/2014/chart" uri="{C3380CC4-5D6E-409C-BE32-E72D297353CC}">
              <c16:uniqueId val="{00000008-993A-4AAC-9CDB-A48E4184A037}"/>
            </c:ext>
          </c:extLst>
        </c:ser>
        <c:dLbls>
          <c:showLegendKey val="0"/>
          <c:showVal val="1"/>
          <c:showCatName val="0"/>
          <c:showSerName val="0"/>
          <c:showPercent val="0"/>
          <c:showBubbleSize val="0"/>
          <c:showLeaderLines val="1"/>
        </c:dLbls>
        <c:firstSliceAng val="0"/>
        <c:holeSize val="55"/>
      </c:doughnut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CHART!PivotTable2</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1165209760412"/>
          <c:y val="3.1380256106055077E-2"/>
          <c:w val="0.78253110868671549"/>
          <c:h val="0.83522489688788903"/>
        </c:manualLayout>
      </c:layout>
      <c:barChart>
        <c:barDir val="bar"/>
        <c:grouping val="clustered"/>
        <c:varyColors val="0"/>
        <c:ser>
          <c:idx val="0"/>
          <c:order val="0"/>
          <c:tx>
            <c:strRef>
              <c:f>'PIVOT CHART'!$E$3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CHART'!$D$4:$D$5</c:f>
              <c:strCache>
                <c:ptCount val="1"/>
                <c:pt idx="0">
                  <c:v>Moisturizer</c:v>
                </c:pt>
              </c:strCache>
            </c:strRef>
          </c:cat>
          <c:val>
            <c:numRef>
              <c:f>'PIVOT CHART'!$E$4:$E$5</c:f>
              <c:numCache>
                <c:formatCode>_ "Rs."\ * #,##0_ ;_ "Rs."\ * \-#,##0_ ;_ "Rs."\ * "-"_ ;_ @_ "L"</c:formatCode>
                <c:ptCount val="1"/>
                <c:pt idx="0">
                  <c:v>60600</c:v>
                </c:pt>
              </c:numCache>
            </c:numRef>
          </c:val>
          <c:extLst>
            <c:ext xmlns:c16="http://schemas.microsoft.com/office/drawing/2014/chart" uri="{C3380CC4-5D6E-409C-BE32-E72D297353CC}">
              <c16:uniqueId val="{00000000-74A0-4CCF-AFB7-193665595547}"/>
            </c:ext>
          </c:extLst>
        </c:ser>
        <c:dLbls>
          <c:dLblPos val="inEnd"/>
          <c:showLegendKey val="0"/>
          <c:showVal val="1"/>
          <c:showCatName val="0"/>
          <c:showSerName val="0"/>
          <c:showPercent val="0"/>
          <c:showBubbleSize val="0"/>
        </c:dLbls>
        <c:gapWidth val="100"/>
        <c:axId val="493793167"/>
        <c:axId val="393029631"/>
      </c:barChart>
      <c:catAx>
        <c:axId val="4937931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crossAx val="393029631"/>
        <c:crosses val="autoZero"/>
        <c:auto val="1"/>
        <c:lblAlgn val="ctr"/>
        <c:lblOffset val="100"/>
        <c:noMultiLvlLbl val="0"/>
      </c:catAx>
      <c:valAx>
        <c:axId val="393029631"/>
        <c:scaling>
          <c:orientation val="minMax"/>
        </c:scaling>
        <c:delete val="0"/>
        <c:axPos val="b"/>
        <c:majorGridlines>
          <c:spPr>
            <a:ln w="9525" cap="flat" cmpd="sng" algn="ctr">
              <a:solidFill>
                <a:schemeClr val="tx2">
                  <a:lumMod val="15000"/>
                  <a:lumOff val="85000"/>
                </a:schemeClr>
              </a:solidFill>
              <a:round/>
            </a:ln>
            <a:effectLst/>
          </c:spPr>
        </c:majorGridlines>
        <c:numFmt formatCode="_ &quot;Rs.&quot;\ * #,##0_ ;_ &quot;Rs.&quot;\ * \-#,##0_ ;_ &quot;Rs.&quot;\ * &quot;-&quot;_ ;_ @_ &quot;L&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493793167"/>
        <c:crosses val="autoZero"/>
        <c:crossBetween val="between"/>
      </c:valAx>
      <c:spPr>
        <a:solidFill>
          <a:schemeClr val="accent1">
            <a:lumMod val="40000"/>
            <a:lumOff val="60000"/>
          </a:schemeClr>
        </a:solidFill>
        <a:ln>
          <a:solidFill>
            <a:schemeClr val="accent1">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CHART!PivotTable3</c:name>
    <c:fmtId val="6"/>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510730735181134"/>
          <c:y val="0.12397929425488481"/>
          <c:w val="0.80489269264818863"/>
          <c:h val="0.5644732429279673"/>
        </c:manualLayout>
      </c:layout>
      <c:barChart>
        <c:barDir val="col"/>
        <c:grouping val="clustered"/>
        <c:varyColors val="0"/>
        <c:ser>
          <c:idx val="0"/>
          <c:order val="0"/>
          <c:tx>
            <c:strRef>
              <c:f>'PIVOT CHART'!$H$3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CHART'!$G$4:$G$14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CHART'!$H$4:$H$14</c:f>
              <c:numCache>
                <c:formatCode>_ "Rs."\ * #,##0_ ;_ "Rs."\ * \-#,##0_ ;_ "Rs."\ * "-"_ ;_ @_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70C-44AE-A877-1445E4E7E4E7}"/>
            </c:ext>
          </c:extLst>
        </c:ser>
        <c:dLbls>
          <c:showLegendKey val="0"/>
          <c:showVal val="0"/>
          <c:showCatName val="0"/>
          <c:showSerName val="0"/>
          <c:showPercent val="0"/>
          <c:showBubbleSize val="0"/>
        </c:dLbls>
        <c:gapWidth val="219"/>
        <c:overlap val="-27"/>
        <c:axId val="497585247"/>
        <c:axId val="497599167"/>
      </c:barChart>
      <c:catAx>
        <c:axId val="4975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99167"/>
        <c:crosses val="autoZero"/>
        <c:auto val="1"/>
        <c:lblAlgn val="ctr"/>
        <c:lblOffset val="100"/>
        <c:noMultiLvlLbl val="0"/>
      </c:catAx>
      <c:valAx>
        <c:axId val="497599167"/>
        <c:scaling>
          <c:orientation val="minMax"/>
        </c:scaling>
        <c:delete val="0"/>
        <c:axPos val="l"/>
        <c:numFmt formatCode="_ &quot;Rs.&quot;\ * #,##0_ ;_ &quot;Rs.&quot;\ * \-#,##0_ ;_ &quot;Rs.&quot;\ * &quot;-&quot;_ ;_ @_ &quot;L&quot;" sourceLinked="1"/>
        <c:majorTickMark val="none"/>
        <c:minorTickMark val="none"/>
        <c:tickLblPos val="nextTo"/>
        <c:spPr>
          <a:solidFill>
            <a:schemeClr val="accent1">
              <a:lumMod val="40000"/>
              <a:lumOff val="60000"/>
            </a:schemeClr>
          </a:solidFill>
          <a:ln>
            <a:solidFill>
              <a:schemeClr val="accent1">
                <a:lumMod val="40000"/>
                <a:lumOff val="60000"/>
              </a:schemeClr>
            </a:solid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975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latin typeface="Book Antiqua" panose="02040602050305030304" pitchFamily="18" charset="0"/>
              </a:rPr>
              <a:t>Total Sales by Region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777777777777768"/>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9.1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dLbl>
          <c:idx val="0"/>
          <c:layout>
            <c:manualLayout>
              <c:x val="-0.1138888888888889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0.1250000000000000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3C9-4BC3-9067-A3E435001D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3C9-4BC3-9067-A3E435001D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3C9-4BC3-9067-A3E435001D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3C9-4BC3-9067-A3E435001DE3}"/>
              </c:ext>
            </c:extLst>
          </c:dPt>
          <c:dLbls>
            <c:dLbl>
              <c:idx val="0"/>
              <c:layout>
                <c:manualLayout>
                  <c:x val="0.12777777777777768"/>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3C9-4BC3-9067-A3E435001DE3}"/>
                </c:ext>
              </c:extLst>
            </c:dLbl>
            <c:dLbl>
              <c:idx val="1"/>
              <c:layout>
                <c:manualLayout>
                  <c:x val="9.1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3C9-4BC3-9067-A3E435001DE3}"/>
                </c:ext>
              </c:extLst>
            </c:dLbl>
            <c:dLbl>
              <c:idx val="2"/>
              <c:layout>
                <c:manualLayout>
                  <c:x val="-0.11388888888888891"/>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3C9-4BC3-9067-A3E435001DE3}"/>
                </c:ext>
              </c:extLst>
            </c:dLbl>
            <c:dLbl>
              <c:idx val="3"/>
              <c:layout>
                <c:manualLayout>
                  <c:x val="-0.12500000000000003"/>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3C9-4BC3-9067-A3E435001D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CHART'!$A$4:$A$8</c:f>
              <c:strCache>
                <c:ptCount val="4"/>
                <c:pt idx="0">
                  <c:v>East</c:v>
                </c:pt>
                <c:pt idx="1">
                  <c:v>North</c:v>
                </c:pt>
                <c:pt idx="2">
                  <c:v>South</c:v>
                </c:pt>
                <c:pt idx="3">
                  <c:v>West</c:v>
                </c:pt>
              </c:strCache>
            </c:strRef>
          </c:cat>
          <c:val>
            <c:numRef>
              <c:f>'PIVOT CHART'!$B$4:$B$8</c:f>
              <c:numCache>
                <c:formatCode>_ "Rs."\ * #,##0_ ;_ "Rs."\ * \-#,##0_ ;_ "Rs."\ * "-"_ ;_ @_ "L"</c:formatCode>
                <c:ptCount val="4"/>
                <c:pt idx="0">
                  <c:v>3534400</c:v>
                </c:pt>
                <c:pt idx="1">
                  <c:v>2661400</c:v>
                </c:pt>
                <c:pt idx="2">
                  <c:v>2870600</c:v>
                </c:pt>
                <c:pt idx="3">
                  <c:v>3878100</c:v>
                </c:pt>
              </c:numCache>
            </c:numRef>
          </c:val>
          <c:extLst>
            <c:ext xmlns:c16="http://schemas.microsoft.com/office/drawing/2014/chart" uri="{C3380CC4-5D6E-409C-BE32-E72D297353CC}">
              <c16:uniqueId val="{00000010-23C9-4BC3-9067-A3E435001DE3}"/>
            </c:ext>
          </c:extLst>
        </c:ser>
        <c:dLbls>
          <c:showLegendKey val="0"/>
          <c:showVal val="1"/>
          <c:showCatName val="0"/>
          <c:showSerName val="0"/>
          <c:showPercent val="0"/>
          <c:showBubbleSize val="0"/>
          <c:showLeaderLines val="1"/>
        </c:dLbls>
        <c:firstSliceAng val="0"/>
        <c:holeSize val="55"/>
      </c:doughnut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CHART!PivotTable2</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7217274942013"/>
          <c:y val="9.2563302347972345E-2"/>
          <c:w val="0.78253110868671549"/>
          <c:h val="0.83522489688788903"/>
        </c:manualLayout>
      </c:layout>
      <c:barChart>
        <c:barDir val="bar"/>
        <c:grouping val="clustered"/>
        <c:varyColors val="0"/>
        <c:ser>
          <c:idx val="0"/>
          <c:order val="0"/>
          <c:tx>
            <c:strRef>
              <c:f>'PIVOT CHART'!$E$3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CHART'!$D$4:$D$5</c:f>
              <c:strCache>
                <c:ptCount val="1"/>
                <c:pt idx="0">
                  <c:v>Moisturizer</c:v>
                </c:pt>
              </c:strCache>
            </c:strRef>
          </c:cat>
          <c:val>
            <c:numRef>
              <c:f>'PIVOT CHART'!$E$4:$E$5</c:f>
              <c:numCache>
                <c:formatCode>_ "Rs."\ * #,##0_ ;_ "Rs."\ * \-#,##0_ ;_ "Rs."\ * "-"_ ;_ @_ "L"</c:formatCode>
                <c:ptCount val="1"/>
                <c:pt idx="0">
                  <c:v>60600</c:v>
                </c:pt>
              </c:numCache>
            </c:numRef>
          </c:val>
          <c:extLst>
            <c:ext xmlns:c16="http://schemas.microsoft.com/office/drawing/2014/chart" uri="{C3380CC4-5D6E-409C-BE32-E72D297353CC}">
              <c16:uniqueId val="{00000000-6D81-4CC8-A1E4-38E80C1584C6}"/>
            </c:ext>
          </c:extLst>
        </c:ser>
        <c:dLbls>
          <c:dLblPos val="inEnd"/>
          <c:showLegendKey val="0"/>
          <c:showVal val="1"/>
          <c:showCatName val="0"/>
          <c:showSerName val="0"/>
          <c:showPercent val="0"/>
          <c:showBubbleSize val="0"/>
        </c:dLbls>
        <c:gapWidth val="100"/>
        <c:axId val="493793167"/>
        <c:axId val="393029631"/>
      </c:barChart>
      <c:catAx>
        <c:axId val="4937931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3029631"/>
        <c:crosses val="autoZero"/>
        <c:auto val="1"/>
        <c:lblAlgn val="ctr"/>
        <c:lblOffset val="100"/>
        <c:noMultiLvlLbl val="0"/>
      </c:catAx>
      <c:valAx>
        <c:axId val="393029631"/>
        <c:scaling>
          <c:orientation val="minMax"/>
        </c:scaling>
        <c:delete val="0"/>
        <c:axPos val="b"/>
        <c:majorGridlines>
          <c:spPr>
            <a:ln w="9525" cap="flat" cmpd="sng" algn="ctr">
              <a:solidFill>
                <a:schemeClr val="tx2">
                  <a:lumMod val="15000"/>
                  <a:lumOff val="85000"/>
                </a:schemeClr>
              </a:solidFill>
              <a:round/>
            </a:ln>
            <a:effectLst/>
          </c:spPr>
        </c:majorGridlines>
        <c:numFmt formatCode="_ &quot;Rs.&quot;\ * #,##0_ ;_ &quot;Rs.&quot;\ * \-#,##0_ ;_ &quot;Rs.&quot;\ * &quot;-&quot;_ ;_ @_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379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CHART!PivotTable3</c:name>
    <c:fmtId val="3"/>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510730735181134"/>
          <c:y val="0.12397929425488481"/>
          <c:w val="0.80489269264818863"/>
          <c:h val="0.5644732429279673"/>
        </c:manualLayout>
      </c:layout>
      <c:barChart>
        <c:barDir val="col"/>
        <c:grouping val="clustered"/>
        <c:varyColors val="0"/>
        <c:ser>
          <c:idx val="0"/>
          <c:order val="0"/>
          <c:tx>
            <c:strRef>
              <c:f>'PIVOT CHART'!$H$3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CHART'!$G$4:$G$14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CHART'!$H$4:$H$14</c:f>
              <c:numCache>
                <c:formatCode>_ "Rs."\ * #,##0_ ;_ "Rs."\ * \-#,##0_ ;_ "Rs."\ * "-"_ ;_ @_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BA5E-46AE-90A7-6A2E2C409A0A}"/>
            </c:ext>
          </c:extLst>
        </c:ser>
        <c:dLbls>
          <c:showLegendKey val="0"/>
          <c:showVal val="0"/>
          <c:showCatName val="0"/>
          <c:showSerName val="0"/>
          <c:showPercent val="0"/>
          <c:showBubbleSize val="0"/>
        </c:dLbls>
        <c:gapWidth val="219"/>
        <c:overlap val="-27"/>
        <c:axId val="497585247"/>
        <c:axId val="497599167"/>
      </c:barChart>
      <c:catAx>
        <c:axId val="4975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99167"/>
        <c:crosses val="autoZero"/>
        <c:auto val="1"/>
        <c:lblAlgn val="ctr"/>
        <c:lblOffset val="100"/>
        <c:noMultiLvlLbl val="0"/>
      </c:catAx>
      <c:valAx>
        <c:axId val="497599167"/>
        <c:scaling>
          <c:orientation val="minMax"/>
        </c:scaling>
        <c:delete val="0"/>
        <c:axPos val="l"/>
        <c:numFmt formatCode="_ &quot;Rs.&quot;\ * #,##0_ ;_ &quot;Rs.&quot;\ * \-#,##0_ ;_ &quot;Rs.&quot;\ * &quot;-&quot;_ ;_ @_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CHART!PivotTable4</c:name>
    <c:fmtId val="9"/>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02623033348259E-2"/>
          <c:y val="0.10930548309759257"/>
          <c:w val="0.87765957097835123"/>
          <c:h val="0.65719575959717935"/>
        </c:manualLayout>
      </c:layout>
      <c:lineChart>
        <c:grouping val="standard"/>
        <c:varyColors val="0"/>
        <c:ser>
          <c:idx val="0"/>
          <c:order val="0"/>
          <c:tx>
            <c:strRef>
              <c:f>'PIVOT CHART'!$K$3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CHART'!$J$4:$J$11</c:f>
              <c:strCache>
                <c:ptCount val="7"/>
                <c:pt idx="0">
                  <c:v>Action Figure</c:v>
                </c:pt>
                <c:pt idx="1">
                  <c:v>Blender</c:v>
                </c:pt>
                <c:pt idx="2">
                  <c:v>Moisturizer</c:v>
                </c:pt>
                <c:pt idx="3">
                  <c:v>Novel</c:v>
                </c:pt>
                <c:pt idx="4">
                  <c:v>Smartphone</c:v>
                </c:pt>
                <c:pt idx="5">
                  <c:v>Sneakers</c:v>
                </c:pt>
                <c:pt idx="6">
                  <c:v>Tent</c:v>
                </c:pt>
              </c:strCache>
            </c:strRef>
          </c:cat>
          <c:val>
            <c:numRef>
              <c:f>'PIVOT CHART'!$K$4:$K$11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496C-4BCE-BCAA-C78CA9754A0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78480959"/>
        <c:axId val="678485279"/>
      </c:lineChart>
      <c:catAx>
        <c:axId val="6784809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78485279"/>
        <c:crosses val="autoZero"/>
        <c:auto val="1"/>
        <c:lblAlgn val="ctr"/>
        <c:lblOffset val="100"/>
        <c:noMultiLvlLbl val="0"/>
      </c:catAx>
      <c:valAx>
        <c:axId val="678485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848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472440</xdr:colOff>
      <xdr:row>4</xdr:row>
      <xdr:rowOff>180603</xdr:rowOff>
    </xdr:to>
    <xdr:sp macro="" textlink="">
      <xdr:nvSpPr>
        <xdr:cNvPr id="2" name="Rectangle: Rounded Corners 1">
          <a:extLst>
            <a:ext uri="{FF2B5EF4-FFF2-40B4-BE49-F238E27FC236}">
              <a16:creationId xmlns:a16="http://schemas.microsoft.com/office/drawing/2014/main" id="{C5BB7CC0-F33B-0D27-57B6-3A84101E427A}"/>
            </a:ext>
          </a:extLst>
        </xdr:cNvPr>
        <xdr:cNvSpPr/>
      </xdr:nvSpPr>
      <xdr:spPr>
        <a:xfrm>
          <a:off x="0" y="0"/>
          <a:ext cx="17380214" cy="928226"/>
        </a:xfrm>
        <a:prstGeom prst="roundRect">
          <a:avLst/>
        </a:prstGeom>
        <a:solidFill>
          <a:schemeClr val="accent1">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5</xdr:row>
      <xdr:rowOff>17317</xdr:rowOff>
    </xdr:from>
    <xdr:to>
      <xdr:col>5</xdr:col>
      <xdr:colOff>60613</xdr:colOff>
      <xdr:row>9</xdr:row>
      <xdr:rowOff>112567</xdr:rowOff>
    </xdr:to>
    <xdr:sp macro="" textlink="">
      <xdr:nvSpPr>
        <xdr:cNvPr id="3" name="Rectangle: Rounded Corners 2">
          <a:extLst>
            <a:ext uri="{FF2B5EF4-FFF2-40B4-BE49-F238E27FC236}">
              <a16:creationId xmlns:a16="http://schemas.microsoft.com/office/drawing/2014/main" id="{2841FD58-7411-36B3-621B-0CD8E867659E}"/>
            </a:ext>
          </a:extLst>
        </xdr:cNvPr>
        <xdr:cNvSpPr/>
      </xdr:nvSpPr>
      <xdr:spPr>
        <a:xfrm>
          <a:off x="0" y="934539"/>
          <a:ext cx="3094502" cy="829028"/>
        </a:xfrm>
        <a:prstGeom prst="roundRect">
          <a:avLst/>
        </a:prstGeom>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z</a:t>
          </a:r>
        </a:p>
      </xdr:txBody>
    </xdr:sp>
    <xdr:clientData/>
  </xdr:twoCellAnchor>
  <xdr:twoCellAnchor>
    <xdr:from>
      <xdr:col>0</xdr:col>
      <xdr:colOff>0</xdr:colOff>
      <xdr:row>5</xdr:row>
      <xdr:rowOff>51955</xdr:rowOff>
    </xdr:from>
    <xdr:to>
      <xdr:col>1</xdr:col>
      <xdr:colOff>129887</xdr:colOff>
      <xdr:row>9</xdr:row>
      <xdr:rowOff>138546</xdr:rowOff>
    </xdr:to>
    <xdr:sp macro="" textlink="">
      <xdr:nvSpPr>
        <xdr:cNvPr id="4" name="Rectangle: Rounded Corners 3">
          <a:extLst>
            <a:ext uri="{FF2B5EF4-FFF2-40B4-BE49-F238E27FC236}">
              <a16:creationId xmlns:a16="http://schemas.microsoft.com/office/drawing/2014/main" id="{2CCB3884-ABBC-9228-2D5F-55FA9E684438}"/>
            </a:ext>
          </a:extLst>
        </xdr:cNvPr>
        <xdr:cNvSpPr/>
      </xdr:nvSpPr>
      <xdr:spPr>
        <a:xfrm>
          <a:off x="0" y="966355"/>
          <a:ext cx="739487" cy="818111"/>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216477</xdr:colOff>
      <xdr:row>5</xdr:row>
      <xdr:rowOff>121227</xdr:rowOff>
    </xdr:from>
    <xdr:to>
      <xdr:col>4</xdr:col>
      <xdr:colOff>190499</xdr:colOff>
      <xdr:row>6</xdr:row>
      <xdr:rowOff>129887</xdr:rowOff>
    </xdr:to>
    <xdr:sp macro="" textlink="">
      <xdr:nvSpPr>
        <xdr:cNvPr id="5" name="TextBox 4">
          <a:extLst>
            <a:ext uri="{FF2B5EF4-FFF2-40B4-BE49-F238E27FC236}">
              <a16:creationId xmlns:a16="http://schemas.microsoft.com/office/drawing/2014/main" id="{FCFEDD3B-6AB4-7BE9-A35B-9EE831D6F4C3}"/>
            </a:ext>
          </a:extLst>
        </xdr:cNvPr>
        <xdr:cNvSpPr txBox="1"/>
      </xdr:nvSpPr>
      <xdr:spPr>
        <a:xfrm>
          <a:off x="826077" y="1035627"/>
          <a:ext cx="1802822" cy="1915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latin typeface="Bodoni MT" panose="02070603080606020203" pitchFamily="18" charset="0"/>
            </a:rPr>
            <a:t>TOTAL SALES</a:t>
          </a:r>
        </a:p>
      </xdr:txBody>
    </xdr:sp>
    <xdr:clientData/>
  </xdr:twoCellAnchor>
  <xdr:twoCellAnchor>
    <xdr:from>
      <xdr:col>1</xdr:col>
      <xdr:colOff>303069</xdr:colOff>
      <xdr:row>7</xdr:row>
      <xdr:rowOff>25977</xdr:rowOff>
    </xdr:from>
    <xdr:to>
      <xdr:col>4</xdr:col>
      <xdr:colOff>311728</xdr:colOff>
      <xdr:row>9</xdr:row>
      <xdr:rowOff>8659</xdr:rowOff>
    </xdr:to>
    <xdr:sp macro="" textlink="SalesData!K2">
      <xdr:nvSpPr>
        <xdr:cNvPr id="6" name="TextBox 5">
          <a:extLst>
            <a:ext uri="{FF2B5EF4-FFF2-40B4-BE49-F238E27FC236}">
              <a16:creationId xmlns:a16="http://schemas.microsoft.com/office/drawing/2014/main" id="{76240315-1474-4BD4-0D7F-180FD31BF8D6}"/>
            </a:ext>
          </a:extLst>
        </xdr:cNvPr>
        <xdr:cNvSpPr txBox="1"/>
      </xdr:nvSpPr>
      <xdr:spPr>
        <a:xfrm>
          <a:off x="912669" y="1306137"/>
          <a:ext cx="1837459" cy="34844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B71C7-5AB1-4F3D-8637-BDD1DDE51BFA}" type="TxLink">
            <a:rPr lang="en-US" sz="1600" b="0" i="0" u="none" strike="noStrike">
              <a:solidFill>
                <a:srgbClr val="000000"/>
              </a:solidFill>
              <a:latin typeface="Aptos Narrow"/>
            </a:rPr>
            <a:pPr/>
            <a:t>₹ 1,29,44,500.00</a:t>
          </a:fld>
          <a:endParaRPr lang="en-IN" sz="1600"/>
        </a:p>
      </xdr:txBody>
    </xdr:sp>
    <xdr:clientData/>
  </xdr:twoCellAnchor>
  <xdr:twoCellAnchor>
    <xdr:from>
      <xdr:col>5</xdr:col>
      <xdr:colOff>112568</xdr:colOff>
      <xdr:row>5</xdr:row>
      <xdr:rowOff>17317</xdr:rowOff>
    </xdr:from>
    <xdr:to>
      <xdr:col>10</xdr:col>
      <xdr:colOff>173181</xdr:colOff>
      <xdr:row>9</xdr:row>
      <xdr:rowOff>112567</xdr:rowOff>
    </xdr:to>
    <xdr:sp macro="" textlink="">
      <xdr:nvSpPr>
        <xdr:cNvPr id="13" name="Rectangle: Rounded Corners 12">
          <a:extLst>
            <a:ext uri="{FF2B5EF4-FFF2-40B4-BE49-F238E27FC236}">
              <a16:creationId xmlns:a16="http://schemas.microsoft.com/office/drawing/2014/main" id="{89182B50-18A6-11B4-0817-73E7AA5B218D}"/>
            </a:ext>
          </a:extLst>
        </xdr:cNvPr>
        <xdr:cNvSpPr/>
      </xdr:nvSpPr>
      <xdr:spPr>
        <a:xfrm>
          <a:off x="3160568" y="931717"/>
          <a:ext cx="3108613" cy="826770"/>
        </a:xfrm>
        <a:prstGeom prst="roundRect">
          <a:avLst/>
        </a:prstGeom>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112568</xdr:colOff>
      <xdr:row>5</xdr:row>
      <xdr:rowOff>51955</xdr:rowOff>
    </xdr:from>
    <xdr:to>
      <xdr:col>6</xdr:col>
      <xdr:colOff>242455</xdr:colOff>
      <xdr:row>9</xdr:row>
      <xdr:rowOff>138546</xdr:rowOff>
    </xdr:to>
    <xdr:sp macro="" textlink="">
      <xdr:nvSpPr>
        <xdr:cNvPr id="14" name="Rectangle: Rounded Corners 13">
          <a:extLst>
            <a:ext uri="{FF2B5EF4-FFF2-40B4-BE49-F238E27FC236}">
              <a16:creationId xmlns:a16="http://schemas.microsoft.com/office/drawing/2014/main" id="{804E6596-200F-74F7-F46F-ECF7D584E453}"/>
            </a:ext>
          </a:extLst>
        </xdr:cNvPr>
        <xdr:cNvSpPr/>
      </xdr:nvSpPr>
      <xdr:spPr>
        <a:xfrm>
          <a:off x="3160568" y="966355"/>
          <a:ext cx="739487" cy="818111"/>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329045</xdr:colOff>
      <xdr:row>5</xdr:row>
      <xdr:rowOff>121227</xdr:rowOff>
    </xdr:from>
    <xdr:to>
      <xdr:col>9</xdr:col>
      <xdr:colOff>303067</xdr:colOff>
      <xdr:row>6</xdr:row>
      <xdr:rowOff>129887</xdr:rowOff>
    </xdr:to>
    <xdr:sp macro="" textlink="">
      <xdr:nvSpPr>
        <xdr:cNvPr id="15" name="TextBox 14">
          <a:extLst>
            <a:ext uri="{FF2B5EF4-FFF2-40B4-BE49-F238E27FC236}">
              <a16:creationId xmlns:a16="http://schemas.microsoft.com/office/drawing/2014/main" id="{3759B39A-1F61-44CE-E28C-AD122CB55C1A}"/>
            </a:ext>
          </a:extLst>
        </xdr:cNvPr>
        <xdr:cNvSpPr txBox="1"/>
      </xdr:nvSpPr>
      <xdr:spPr>
        <a:xfrm>
          <a:off x="3986645" y="1035627"/>
          <a:ext cx="1802822" cy="1915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latin typeface="Bodoni MT" panose="02070603080606020203" pitchFamily="18" charset="0"/>
            </a:rPr>
            <a:t>AVERAGE</a:t>
          </a:r>
          <a:r>
            <a:rPr lang="en-IN" sz="1400" b="1" baseline="0">
              <a:solidFill>
                <a:schemeClr val="accent1">
                  <a:lumMod val="75000"/>
                </a:schemeClr>
              </a:solidFill>
              <a:latin typeface="Bodoni MT" panose="02070603080606020203" pitchFamily="18" charset="0"/>
            </a:rPr>
            <a:t> SALE</a:t>
          </a:r>
          <a:endParaRPr lang="en-IN" sz="1400" b="1">
            <a:solidFill>
              <a:schemeClr val="accent1">
                <a:lumMod val="75000"/>
              </a:schemeClr>
            </a:solidFill>
            <a:latin typeface="Bodoni MT" panose="02070603080606020203" pitchFamily="18" charset="0"/>
          </a:endParaRPr>
        </a:p>
      </xdr:txBody>
    </xdr:sp>
    <xdr:clientData/>
  </xdr:twoCellAnchor>
  <xdr:twoCellAnchor>
    <xdr:from>
      <xdr:col>6</xdr:col>
      <xdr:colOff>415637</xdr:colOff>
      <xdr:row>7</xdr:row>
      <xdr:rowOff>25977</xdr:rowOff>
    </xdr:from>
    <xdr:to>
      <xdr:col>9</xdr:col>
      <xdr:colOff>424296</xdr:colOff>
      <xdr:row>9</xdr:row>
      <xdr:rowOff>8659</xdr:rowOff>
    </xdr:to>
    <xdr:sp macro="" textlink="SalesData!K2">
      <xdr:nvSpPr>
        <xdr:cNvPr id="16" name="TextBox 15">
          <a:extLst>
            <a:ext uri="{FF2B5EF4-FFF2-40B4-BE49-F238E27FC236}">
              <a16:creationId xmlns:a16="http://schemas.microsoft.com/office/drawing/2014/main" id="{83E7040F-36CD-42F4-2227-BF16D53E1101}"/>
            </a:ext>
          </a:extLst>
        </xdr:cNvPr>
        <xdr:cNvSpPr txBox="1"/>
      </xdr:nvSpPr>
      <xdr:spPr>
        <a:xfrm>
          <a:off x="4073237" y="1306137"/>
          <a:ext cx="1837459" cy="34844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B71C7-5AB1-4F3D-8637-BDD1DDE51BFA}" type="TxLink">
            <a:rPr lang="en-US" sz="1600" b="0" i="0" u="none" strike="noStrike">
              <a:solidFill>
                <a:srgbClr val="000000"/>
              </a:solidFill>
              <a:latin typeface="Aptos Narrow"/>
            </a:rPr>
            <a:pPr/>
            <a:t>₹ 1,29,44,500.00</a:t>
          </a:fld>
          <a:endParaRPr lang="en-IN" sz="1600"/>
        </a:p>
      </xdr:txBody>
    </xdr:sp>
    <xdr:clientData/>
  </xdr:twoCellAnchor>
  <xdr:twoCellAnchor>
    <xdr:from>
      <xdr:col>10</xdr:col>
      <xdr:colOff>277091</xdr:colOff>
      <xdr:row>4</xdr:row>
      <xdr:rowOff>164522</xdr:rowOff>
    </xdr:from>
    <xdr:to>
      <xdr:col>15</xdr:col>
      <xdr:colOff>337705</xdr:colOff>
      <xdr:row>9</xdr:row>
      <xdr:rowOff>77931</xdr:rowOff>
    </xdr:to>
    <xdr:sp macro="" textlink="">
      <xdr:nvSpPr>
        <xdr:cNvPr id="18" name="Rectangle: Rounded Corners 17">
          <a:extLst>
            <a:ext uri="{FF2B5EF4-FFF2-40B4-BE49-F238E27FC236}">
              <a16:creationId xmlns:a16="http://schemas.microsoft.com/office/drawing/2014/main" id="{6053275A-BF44-2BA3-435F-0C3895C80AF2}"/>
            </a:ext>
          </a:extLst>
        </xdr:cNvPr>
        <xdr:cNvSpPr/>
      </xdr:nvSpPr>
      <xdr:spPr>
        <a:xfrm>
          <a:off x="6373091" y="896042"/>
          <a:ext cx="3108614" cy="827809"/>
        </a:xfrm>
        <a:prstGeom prst="roundRect">
          <a:avLst/>
        </a:prstGeom>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277091</xdr:colOff>
      <xdr:row>5</xdr:row>
      <xdr:rowOff>17319</xdr:rowOff>
    </xdr:from>
    <xdr:to>
      <xdr:col>11</xdr:col>
      <xdr:colOff>406978</xdr:colOff>
      <xdr:row>9</xdr:row>
      <xdr:rowOff>103910</xdr:rowOff>
    </xdr:to>
    <xdr:sp macro="" textlink="">
      <xdr:nvSpPr>
        <xdr:cNvPr id="19" name="Rectangle: Rounded Corners 18">
          <a:extLst>
            <a:ext uri="{FF2B5EF4-FFF2-40B4-BE49-F238E27FC236}">
              <a16:creationId xmlns:a16="http://schemas.microsoft.com/office/drawing/2014/main" id="{205AF526-D4E7-8AFA-88D2-09E71C464E0D}"/>
            </a:ext>
          </a:extLst>
        </xdr:cNvPr>
        <xdr:cNvSpPr/>
      </xdr:nvSpPr>
      <xdr:spPr>
        <a:xfrm>
          <a:off x="6373091" y="931719"/>
          <a:ext cx="739487" cy="818111"/>
        </a:xfrm>
        <a:prstGeom prst="roundRect">
          <a:avLst/>
        </a:prstGeom>
        <a:solidFill>
          <a:schemeClr val="accent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493568</xdr:colOff>
      <xdr:row>5</xdr:row>
      <xdr:rowOff>86591</xdr:rowOff>
    </xdr:from>
    <xdr:to>
      <xdr:col>14</xdr:col>
      <xdr:colOff>467590</xdr:colOff>
      <xdr:row>6</xdr:row>
      <xdr:rowOff>95251</xdr:rowOff>
    </xdr:to>
    <xdr:sp macro="" textlink="">
      <xdr:nvSpPr>
        <xdr:cNvPr id="20" name="TextBox 19">
          <a:extLst>
            <a:ext uri="{FF2B5EF4-FFF2-40B4-BE49-F238E27FC236}">
              <a16:creationId xmlns:a16="http://schemas.microsoft.com/office/drawing/2014/main" id="{1264FDBE-41F8-A751-16C8-44670F4F4A9A}"/>
            </a:ext>
          </a:extLst>
        </xdr:cNvPr>
        <xdr:cNvSpPr txBox="1"/>
      </xdr:nvSpPr>
      <xdr:spPr>
        <a:xfrm>
          <a:off x="7199168" y="1000991"/>
          <a:ext cx="1802822" cy="1915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latin typeface="Bodoni MT" panose="02070603080606020203" pitchFamily="18" charset="0"/>
            </a:rPr>
            <a:t>UNIT</a:t>
          </a:r>
          <a:r>
            <a:rPr lang="en-IN" sz="1400" b="1" baseline="0">
              <a:solidFill>
                <a:schemeClr val="accent1">
                  <a:lumMod val="75000"/>
                </a:schemeClr>
              </a:solidFill>
              <a:latin typeface="Bodoni MT" panose="02070603080606020203" pitchFamily="18" charset="0"/>
            </a:rPr>
            <a:t> SOLD</a:t>
          </a:r>
          <a:endParaRPr lang="en-IN" sz="1400" b="1">
            <a:solidFill>
              <a:schemeClr val="accent1">
                <a:lumMod val="75000"/>
              </a:schemeClr>
            </a:solidFill>
            <a:latin typeface="Bodoni MT" panose="02070603080606020203" pitchFamily="18" charset="0"/>
          </a:endParaRPr>
        </a:p>
      </xdr:txBody>
    </xdr:sp>
    <xdr:clientData/>
  </xdr:twoCellAnchor>
  <xdr:twoCellAnchor>
    <xdr:from>
      <xdr:col>11</xdr:col>
      <xdr:colOff>580160</xdr:colOff>
      <xdr:row>6</xdr:row>
      <xdr:rowOff>173182</xdr:rowOff>
    </xdr:from>
    <xdr:to>
      <xdr:col>14</xdr:col>
      <xdr:colOff>588819</xdr:colOff>
      <xdr:row>8</xdr:row>
      <xdr:rowOff>155864</xdr:rowOff>
    </xdr:to>
    <xdr:sp macro="" textlink="SalesData!K2">
      <xdr:nvSpPr>
        <xdr:cNvPr id="21" name="TextBox 20">
          <a:extLst>
            <a:ext uri="{FF2B5EF4-FFF2-40B4-BE49-F238E27FC236}">
              <a16:creationId xmlns:a16="http://schemas.microsoft.com/office/drawing/2014/main" id="{CEDBECEA-DCDD-D6CB-774B-026EFF38D053}"/>
            </a:ext>
          </a:extLst>
        </xdr:cNvPr>
        <xdr:cNvSpPr txBox="1"/>
      </xdr:nvSpPr>
      <xdr:spPr>
        <a:xfrm>
          <a:off x="7285760" y="1270462"/>
          <a:ext cx="1837459" cy="34844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B71C7-5AB1-4F3D-8637-BDD1DDE51BFA}" type="TxLink">
            <a:rPr lang="en-US" sz="1600" b="0" i="0" u="none" strike="noStrike">
              <a:solidFill>
                <a:srgbClr val="000000"/>
              </a:solidFill>
              <a:latin typeface="Aptos Narrow"/>
            </a:rPr>
            <a:pPr/>
            <a:t>₹ 1,29,44,500.00</a:t>
          </a:fld>
          <a:endParaRPr lang="en-IN" sz="1600"/>
        </a:p>
      </xdr:txBody>
    </xdr:sp>
    <xdr:clientData/>
  </xdr:twoCellAnchor>
  <xdr:twoCellAnchor>
    <xdr:from>
      <xdr:col>15</xdr:col>
      <xdr:colOff>432956</xdr:colOff>
      <xdr:row>4</xdr:row>
      <xdr:rowOff>173181</xdr:rowOff>
    </xdr:from>
    <xdr:to>
      <xdr:col>20</xdr:col>
      <xdr:colOff>493569</xdr:colOff>
      <xdr:row>9</xdr:row>
      <xdr:rowOff>86590</xdr:rowOff>
    </xdr:to>
    <xdr:sp macro="" textlink="">
      <xdr:nvSpPr>
        <xdr:cNvPr id="22" name="Rectangle: Rounded Corners 21">
          <a:extLst>
            <a:ext uri="{FF2B5EF4-FFF2-40B4-BE49-F238E27FC236}">
              <a16:creationId xmlns:a16="http://schemas.microsoft.com/office/drawing/2014/main" id="{89AE737B-7C4E-F778-529D-75DCD3B7D4A7}"/>
            </a:ext>
          </a:extLst>
        </xdr:cNvPr>
        <xdr:cNvSpPr/>
      </xdr:nvSpPr>
      <xdr:spPr>
        <a:xfrm>
          <a:off x="9534623" y="906959"/>
          <a:ext cx="3094502" cy="830631"/>
        </a:xfrm>
        <a:prstGeom prst="roundRect">
          <a:avLst/>
        </a:prstGeom>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432956</xdr:colOff>
      <xdr:row>5</xdr:row>
      <xdr:rowOff>25978</xdr:rowOff>
    </xdr:from>
    <xdr:to>
      <xdr:col>16</xdr:col>
      <xdr:colOff>562842</xdr:colOff>
      <xdr:row>9</xdr:row>
      <xdr:rowOff>112569</xdr:rowOff>
    </xdr:to>
    <xdr:sp macro="" textlink="">
      <xdr:nvSpPr>
        <xdr:cNvPr id="23" name="Rectangle: Rounded Corners 22">
          <a:extLst>
            <a:ext uri="{FF2B5EF4-FFF2-40B4-BE49-F238E27FC236}">
              <a16:creationId xmlns:a16="http://schemas.microsoft.com/office/drawing/2014/main" id="{6E229897-E2D1-4DCA-915E-613440C90799}"/>
            </a:ext>
          </a:extLst>
        </xdr:cNvPr>
        <xdr:cNvSpPr/>
      </xdr:nvSpPr>
      <xdr:spPr>
        <a:xfrm>
          <a:off x="9576956" y="940378"/>
          <a:ext cx="739486" cy="818111"/>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43296</xdr:colOff>
      <xdr:row>5</xdr:row>
      <xdr:rowOff>95250</xdr:rowOff>
    </xdr:from>
    <xdr:to>
      <xdr:col>20</xdr:col>
      <xdr:colOff>17318</xdr:colOff>
      <xdr:row>6</xdr:row>
      <xdr:rowOff>103910</xdr:rowOff>
    </xdr:to>
    <xdr:sp macro="" textlink="">
      <xdr:nvSpPr>
        <xdr:cNvPr id="24" name="TextBox 23">
          <a:extLst>
            <a:ext uri="{FF2B5EF4-FFF2-40B4-BE49-F238E27FC236}">
              <a16:creationId xmlns:a16="http://schemas.microsoft.com/office/drawing/2014/main" id="{7C211A0C-A93E-9B47-6B00-B271F7A24563}"/>
            </a:ext>
          </a:extLst>
        </xdr:cNvPr>
        <xdr:cNvSpPr txBox="1"/>
      </xdr:nvSpPr>
      <xdr:spPr>
        <a:xfrm>
          <a:off x="10406496" y="1009650"/>
          <a:ext cx="1802822" cy="1915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latin typeface="Bodoni MT" panose="02070603080606020203" pitchFamily="18" charset="0"/>
            </a:rPr>
            <a:t>PROFIT</a:t>
          </a:r>
        </a:p>
      </xdr:txBody>
    </xdr:sp>
    <xdr:clientData/>
  </xdr:twoCellAnchor>
  <xdr:twoCellAnchor>
    <xdr:from>
      <xdr:col>17</xdr:col>
      <xdr:colOff>129888</xdr:colOff>
      <xdr:row>7</xdr:row>
      <xdr:rowOff>0</xdr:rowOff>
    </xdr:from>
    <xdr:to>
      <xdr:col>20</xdr:col>
      <xdr:colOff>138547</xdr:colOff>
      <xdr:row>8</xdr:row>
      <xdr:rowOff>164523</xdr:rowOff>
    </xdr:to>
    <xdr:sp macro="" textlink="SalesData!K2">
      <xdr:nvSpPr>
        <xdr:cNvPr id="25" name="TextBox 24">
          <a:extLst>
            <a:ext uri="{FF2B5EF4-FFF2-40B4-BE49-F238E27FC236}">
              <a16:creationId xmlns:a16="http://schemas.microsoft.com/office/drawing/2014/main" id="{19851480-0A7E-D556-14D4-C82BAA443E08}"/>
            </a:ext>
          </a:extLst>
        </xdr:cNvPr>
        <xdr:cNvSpPr txBox="1"/>
      </xdr:nvSpPr>
      <xdr:spPr>
        <a:xfrm>
          <a:off x="10493088" y="1280160"/>
          <a:ext cx="1837459" cy="347403"/>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B71C7-5AB1-4F3D-8637-BDD1DDE51BFA}" type="TxLink">
            <a:rPr lang="en-US" sz="1600" b="0" i="0" u="none" strike="noStrike">
              <a:solidFill>
                <a:srgbClr val="000000"/>
              </a:solidFill>
              <a:latin typeface="Aptos Narrow"/>
            </a:rPr>
            <a:pPr/>
            <a:t>₹ 1,29,44,500.00</a:t>
          </a:fld>
          <a:endParaRPr lang="en-IN" sz="1600"/>
        </a:p>
      </xdr:txBody>
    </xdr:sp>
    <xdr:clientData/>
  </xdr:twoCellAnchor>
  <xdr:twoCellAnchor editAs="oneCell">
    <xdr:from>
      <xdr:col>5</xdr:col>
      <xdr:colOff>334537</xdr:colOff>
      <xdr:row>6</xdr:row>
      <xdr:rowOff>111511</xdr:rowOff>
    </xdr:from>
    <xdr:to>
      <xdr:col>6</xdr:col>
      <xdr:colOff>81220</xdr:colOff>
      <xdr:row>8</xdr:row>
      <xdr:rowOff>99804</xdr:rowOff>
    </xdr:to>
    <xdr:pic>
      <xdr:nvPicPr>
        <xdr:cNvPr id="35" name="Graphic 34" descr="Coins with solid fill">
          <a:extLst>
            <a:ext uri="{FF2B5EF4-FFF2-40B4-BE49-F238E27FC236}">
              <a16:creationId xmlns:a16="http://schemas.microsoft.com/office/drawing/2014/main" id="{8519CD18-38A1-DC83-66BB-0ECC736879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82537" y="1208791"/>
          <a:ext cx="356283" cy="354053"/>
        </a:xfrm>
        <a:prstGeom prst="rect">
          <a:avLst/>
        </a:prstGeom>
      </xdr:spPr>
    </xdr:pic>
    <xdr:clientData/>
  </xdr:twoCellAnchor>
  <xdr:twoCellAnchor editAs="oneCell">
    <xdr:from>
      <xdr:col>0</xdr:col>
      <xdr:colOff>196464</xdr:colOff>
      <xdr:row>6</xdr:row>
      <xdr:rowOff>66367</xdr:rowOff>
    </xdr:from>
    <xdr:to>
      <xdr:col>0</xdr:col>
      <xdr:colOff>556464</xdr:colOff>
      <xdr:row>8</xdr:row>
      <xdr:rowOff>54660</xdr:rowOff>
    </xdr:to>
    <xdr:pic>
      <xdr:nvPicPr>
        <xdr:cNvPr id="37" name="Graphic 36" descr="Money with solid fill">
          <a:extLst>
            <a:ext uri="{FF2B5EF4-FFF2-40B4-BE49-F238E27FC236}">
              <a16:creationId xmlns:a16="http://schemas.microsoft.com/office/drawing/2014/main" id="{0793EEA4-7F5A-29A9-B720-A8A28098A8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464" y="1163647"/>
          <a:ext cx="360000" cy="354053"/>
        </a:xfrm>
        <a:prstGeom prst="rect">
          <a:avLst/>
        </a:prstGeom>
      </xdr:spPr>
    </xdr:pic>
    <xdr:clientData/>
  </xdr:twoCellAnchor>
  <xdr:twoCellAnchor editAs="oneCell">
    <xdr:from>
      <xdr:col>16</xdr:col>
      <xdr:colOff>11926</xdr:colOff>
      <xdr:row>6</xdr:row>
      <xdr:rowOff>76976</xdr:rowOff>
    </xdr:from>
    <xdr:to>
      <xdr:col>16</xdr:col>
      <xdr:colOff>371926</xdr:colOff>
      <xdr:row>8</xdr:row>
      <xdr:rowOff>65269</xdr:rowOff>
    </xdr:to>
    <xdr:pic>
      <xdr:nvPicPr>
        <xdr:cNvPr id="39" name="Graphic 38" descr="Piggy Bank with solid fill">
          <a:extLst>
            <a:ext uri="{FF2B5EF4-FFF2-40B4-BE49-F238E27FC236}">
              <a16:creationId xmlns:a16="http://schemas.microsoft.com/office/drawing/2014/main" id="{45EB44A7-862A-216D-8C78-79439D9C0F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65526" y="1174256"/>
          <a:ext cx="360000" cy="354053"/>
        </a:xfrm>
        <a:prstGeom prst="rect">
          <a:avLst/>
        </a:prstGeom>
      </xdr:spPr>
    </xdr:pic>
    <xdr:clientData/>
  </xdr:twoCellAnchor>
  <xdr:twoCellAnchor editAs="oneCell">
    <xdr:from>
      <xdr:col>10</xdr:col>
      <xdr:colOff>477878</xdr:colOff>
      <xdr:row>6</xdr:row>
      <xdr:rowOff>106171</xdr:rowOff>
    </xdr:from>
    <xdr:to>
      <xdr:col>11</xdr:col>
      <xdr:colOff>224561</xdr:colOff>
      <xdr:row>8</xdr:row>
      <xdr:rowOff>94464</xdr:rowOff>
    </xdr:to>
    <xdr:pic>
      <xdr:nvPicPr>
        <xdr:cNvPr id="41" name="Graphic 40" descr="Shopping cart with solid fill">
          <a:extLst>
            <a:ext uri="{FF2B5EF4-FFF2-40B4-BE49-F238E27FC236}">
              <a16:creationId xmlns:a16="http://schemas.microsoft.com/office/drawing/2014/main" id="{38859369-F47D-3A10-F97A-FD70CF3E9B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73878" y="1203451"/>
          <a:ext cx="356283" cy="354053"/>
        </a:xfrm>
        <a:prstGeom prst="rect">
          <a:avLst/>
        </a:prstGeom>
      </xdr:spPr>
    </xdr:pic>
    <xdr:clientData/>
  </xdr:twoCellAnchor>
  <xdr:twoCellAnchor>
    <xdr:from>
      <xdr:col>5</xdr:col>
      <xdr:colOff>315951</xdr:colOff>
      <xdr:row>0</xdr:row>
      <xdr:rowOff>176560</xdr:rowOff>
    </xdr:from>
    <xdr:to>
      <xdr:col>14</xdr:col>
      <xdr:colOff>334536</xdr:colOff>
      <xdr:row>4</xdr:row>
      <xdr:rowOff>65048</xdr:rowOff>
    </xdr:to>
    <xdr:sp macro="" textlink="">
      <xdr:nvSpPr>
        <xdr:cNvPr id="42" name="TextBox 41">
          <a:extLst>
            <a:ext uri="{FF2B5EF4-FFF2-40B4-BE49-F238E27FC236}">
              <a16:creationId xmlns:a16="http://schemas.microsoft.com/office/drawing/2014/main" id="{17BB6815-4D08-BE80-BF26-678B8FE376D1}"/>
            </a:ext>
          </a:extLst>
        </xdr:cNvPr>
        <xdr:cNvSpPr txBox="1"/>
      </xdr:nvSpPr>
      <xdr:spPr>
        <a:xfrm>
          <a:off x="3363951" y="176560"/>
          <a:ext cx="5504985" cy="620008"/>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800" b="0" cap="none" spc="0">
              <a:ln w="0"/>
              <a:solidFill>
                <a:schemeClr val="accent1"/>
              </a:solidFill>
              <a:effectLst>
                <a:outerShdw blurRad="38100" dist="25400" dir="5400000" algn="ctr" rotWithShape="0">
                  <a:srgbClr val="6E747A">
                    <a:alpha val="43000"/>
                  </a:srgbClr>
                </a:outerShdw>
              </a:effectLst>
              <a:latin typeface="Bodoni MT" panose="02070603080606020203" pitchFamily="18" charset="0"/>
            </a:rPr>
            <a:t>SALES</a:t>
          </a:r>
          <a:r>
            <a:rPr lang="en-IN" sz="2800" b="0" cap="none" spc="0" baseline="0">
              <a:ln w="0"/>
              <a:solidFill>
                <a:schemeClr val="accent1"/>
              </a:solidFill>
              <a:effectLst>
                <a:outerShdw blurRad="38100" dist="25400" dir="5400000" algn="ctr" rotWithShape="0">
                  <a:srgbClr val="6E747A">
                    <a:alpha val="43000"/>
                  </a:srgbClr>
                </a:outerShdw>
              </a:effectLst>
              <a:latin typeface="Bodoni MT" panose="02070603080606020203" pitchFamily="18" charset="0"/>
            </a:rPr>
            <a:t> DASHBOARD- 2025</a:t>
          </a:r>
          <a:endParaRPr lang="en-IN" sz="2800" b="0" cap="none" spc="0">
            <a:ln w="0"/>
            <a:solidFill>
              <a:schemeClr val="accent1"/>
            </a:solidFill>
            <a:effectLst>
              <a:outerShdw blurRad="38100" dist="25400" dir="5400000" algn="ctr" rotWithShape="0">
                <a:srgbClr val="6E747A">
                  <a:alpha val="43000"/>
                </a:srgbClr>
              </a:outerShdw>
            </a:effectLst>
            <a:latin typeface="Bodoni MT" panose="02070603080606020203" pitchFamily="18" charset="0"/>
          </a:endParaRPr>
        </a:p>
      </xdr:txBody>
    </xdr:sp>
    <xdr:clientData/>
  </xdr:twoCellAnchor>
  <xdr:twoCellAnchor editAs="oneCell">
    <xdr:from>
      <xdr:col>4</xdr:col>
      <xdr:colOff>565275</xdr:colOff>
      <xdr:row>0</xdr:row>
      <xdr:rowOff>0</xdr:rowOff>
    </xdr:from>
    <xdr:to>
      <xdr:col>6</xdr:col>
      <xdr:colOff>253041</xdr:colOff>
      <xdr:row>4</xdr:row>
      <xdr:rowOff>170985</xdr:rowOff>
    </xdr:to>
    <xdr:pic>
      <xdr:nvPicPr>
        <xdr:cNvPr id="44" name="Graphic 43" descr="Presentation with bar chart with solid fill">
          <a:extLst>
            <a:ext uri="{FF2B5EF4-FFF2-40B4-BE49-F238E27FC236}">
              <a16:creationId xmlns:a16="http://schemas.microsoft.com/office/drawing/2014/main" id="{E5C9A5B5-9C59-DB32-666B-97686DF8A5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80671" y="0"/>
          <a:ext cx="895464" cy="918608"/>
        </a:xfrm>
        <a:prstGeom prst="rect">
          <a:avLst/>
        </a:prstGeom>
      </xdr:spPr>
    </xdr:pic>
    <xdr:clientData/>
  </xdr:twoCellAnchor>
  <xdr:twoCellAnchor editAs="oneCell">
    <xdr:from>
      <xdr:col>20</xdr:col>
      <xdr:colOff>557561</xdr:colOff>
      <xdr:row>5</xdr:row>
      <xdr:rowOff>9292</xdr:rowOff>
    </xdr:from>
    <xdr:to>
      <xdr:col>24</xdr:col>
      <xdr:colOff>408877</xdr:colOff>
      <xdr:row>9</xdr:row>
      <xdr:rowOff>83633</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0D671BAA-4792-4F2E-9E90-5679D38D026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79263" y="900994"/>
              <a:ext cx="2315657" cy="787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164380</xdr:rowOff>
    </xdr:from>
    <xdr:to>
      <xdr:col>6</xdr:col>
      <xdr:colOff>261937</xdr:colOff>
      <xdr:row>28</xdr:row>
      <xdr:rowOff>144328</xdr:rowOff>
    </xdr:to>
    <mc:AlternateContent xmlns:mc="http://schemas.openxmlformats.org/markup-compatibility/2006" xmlns:a14="http://schemas.microsoft.com/office/drawing/2010/main">
      <mc:Choice Requires="a14">
        <xdr:graphicFrame macro="">
          <xdr:nvGraphicFramePr>
            <xdr:cNvPr id="46" name="Sales Person 1">
              <a:extLst>
                <a:ext uri="{FF2B5EF4-FFF2-40B4-BE49-F238E27FC236}">
                  <a16:creationId xmlns:a16="http://schemas.microsoft.com/office/drawing/2014/main" id="{9E4D28C7-D4DF-4A4A-BE5A-5C9534061CA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47625" y="1769444"/>
              <a:ext cx="3910823" cy="3368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166688</xdr:rowOff>
    </xdr:from>
    <xdr:to>
      <xdr:col>6</xdr:col>
      <xdr:colOff>214312</xdr:colOff>
      <xdr:row>66</xdr:row>
      <xdr:rowOff>29621</xdr:rowOff>
    </xdr:to>
    <mc:AlternateContent xmlns:mc="http://schemas.openxmlformats.org/markup-compatibility/2006" xmlns:a14="http://schemas.microsoft.com/office/drawing/2010/main">
      <mc:Choice Requires="a14">
        <xdr:graphicFrame macro="">
          <xdr:nvGraphicFramePr>
            <xdr:cNvPr id="47" name="Product 1">
              <a:extLst>
                <a:ext uri="{FF2B5EF4-FFF2-40B4-BE49-F238E27FC236}">
                  <a16:creationId xmlns:a16="http://schemas.microsoft.com/office/drawing/2014/main" id="{32677F25-8833-4C90-9FC7-28F7E9FEFDD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5160220"/>
              <a:ext cx="3910823" cy="6639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299568</xdr:colOff>
      <xdr:row>10</xdr:row>
      <xdr:rowOff>2852</xdr:rowOff>
    </xdr:from>
    <xdr:to>
      <xdr:col>19</xdr:col>
      <xdr:colOff>95653</xdr:colOff>
      <xdr:row>36</xdr:row>
      <xdr:rowOff>123426</xdr:rowOff>
    </xdr:to>
    <xdr:sp macro="" textlink="">
      <xdr:nvSpPr>
        <xdr:cNvPr id="48" name="Rectangle: Rounded Corners 47">
          <a:extLst>
            <a:ext uri="{FF2B5EF4-FFF2-40B4-BE49-F238E27FC236}">
              <a16:creationId xmlns:a16="http://schemas.microsoft.com/office/drawing/2014/main" id="{69D93D4F-F8A5-FED3-64E4-22659ECCD4F3}"/>
            </a:ext>
          </a:extLst>
        </xdr:cNvPr>
        <xdr:cNvSpPr/>
      </xdr:nvSpPr>
      <xdr:spPr>
        <a:xfrm>
          <a:off x="3957168" y="1831652"/>
          <a:ext cx="7720885" cy="4875454"/>
        </a:xfrm>
        <a:prstGeom prst="roundRect">
          <a:avLst/>
        </a:prstGeom>
        <a:solidFill>
          <a:schemeClr val="accent1">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Book Antiqua" panose="02040602050305030304" pitchFamily="18" charset="0"/>
            </a:rPr>
            <a:t>UNIT SOLD BY PRODUCT</a:t>
          </a:r>
        </a:p>
      </xdr:txBody>
    </xdr:sp>
    <xdr:clientData/>
  </xdr:twoCellAnchor>
  <xdr:twoCellAnchor>
    <xdr:from>
      <xdr:col>6</xdr:col>
      <xdr:colOff>580149</xdr:colOff>
      <xdr:row>13</xdr:row>
      <xdr:rowOff>71090</xdr:rowOff>
    </xdr:from>
    <xdr:to>
      <xdr:col>18</xdr:col>
      <xdr:colOff>318566</xdr:colOff>
      <xdr:row>35</xdr:row>
      <xdr:rowOff>89303</xdr:rowOff>
    </xdr:to>
    <xdr:graphicFrame macro="">
      <xdr:nvGraphicFramePr>
        <xdr:cNvPr id="49" name="Chart 48">
          <a:extLst>
            <a:ext uri="{FF2B5EF4-FFF2-40B4-BE49-F238E27FC236}">
              <a16:creationId xmlns:a16="http://schemas.microsoft.com/office/drawing/2014/main" id="{A9D536A7-7A3A-45DF-9CE1-F1B141304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112882</xdr:colOff>
      <xdr:row>9</xdr:row>
      <xdr:rowOff>124255</xdr:rowOff>
    </xdr:from>
    <xdr:to>
      <xdr:col>31</xdr:col>
      <xdr:colOff>517735</xdr:colOff>
      <xdr:row>36</xdr:row>
      <xdr:rowOff>86223</xdr:rowOff>
    </xdr:to>
    <xdr:sp macro="" textlink="">
      <xdr:nvSpPr>
        <xdr:cNvPr id="50" name="Rectangle: Rounded Corners 49">
          <a:extLst>
            <a:ext uri="{FF2B5EF4-FFF2-40B4-BE49-F238E27FC236}">
              <a16:creationId xmlns:a16="http://schemas.microsoft.com/office/drawing/2014/main" id="{753F38AA-F1AA-C29B-6379-C3BD8AB0B5B1}"/>
            </a:ext>
          </a:extLst>
        </xdr:cNvPr>
        <xdr:cNvSpPr/>
      </xdr:nvSpPr>
      <xdr:spPr>
        <a:xfrm>
          <a:off x="11695282" y="1770175"/>
          <a:ext cx="7720053" cy="4899728"/>
        </a:xfrm>
        <a:prstGeom prst="roundRect">
          <a:avLst/>
        </a:prstGeom>
        <a:solidFill>
          <a:schemeClr val="accent1">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Book Antiqua" panose="02040602050305030304" pitchFamily="18" charset="0"/>
            </a:rPr>
            <a:t>TOTAL</a:t>
          </a:r>
          <a:r>
            <a:rPr lang="en-IN" sz="2000" baseline="0">
              <a:latin typeface="Book Antiqua" panose="02040602050305030304" pitchFamily="18" charset="0"/>
            </a:rPr>
            <a:t> SALES BY REGION</a:t>
          </a:r>
          <a:endParaRPr lang="en-IN" sz="2000">
            <a:latin typeface="Book Antiqua" panose="02040602050305030304" pitchFamily="18" charset="0"/>
          </a:endParaRPr>
        </a:p>
      </xdr:txBody>
    </xdr:sp>
    <xdr:clientData/>
  </xdr:twoCellAnchor>
  <xdr:twoCellAnchor>
    <xdr:from>
      <xdr:col>6</xdr:col>
      <xdr:colOff>206641</xdr:colOff>
      <xdr:row>37</xdr:row>
      <xdr:rowOff>21438</xdr:rowOff>
    </xdr:from>
    <xdr:to>
      <xdr:col>19</xdr:col>
      <xdr:colOff>2726</xdr:colOff>
      <xdr:row>63</xdr:row>
      <xdr:rowOff>142010</xdr:rowOff>
    </xdr:to>
    <xdr:sp macro="" textlink="">
      <xdr:nvSpPr>
        <xdr:cNvPr id="51" name="Rectangle: Rounded Corners 50">
          <a:extLst>
            <a:ext uri="{FF2B5EF4-FFF2-40B4-BE49-F238E27FC236}">
              <a16:creationId xmlns:a16="http://schemas.microsoft.com/office/drawing/2014/main" id="{90D87E08-5AFE-4FF2-EC17-5F932C9CD22F}"/>
            </a:ext>
          </a:extLst>
        </xdr:cNvPr>
        <xdr:cNvSpPr/>
      </xdr:nvSpPr>
      <xdr:spPr>
        <a:xfrm>
          <a:off x="3864241" y="6787998"/>
          <a:ext cx="7720885" cy="4875452"/>
        </a:xfrm>
        <a:prstGeom prst="roundRect">
          <a:avLst/>
        </a:prstGeom>
        <a:solidFill>
          <a:schemeClr val="accent1">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Book Antiqua" panose="02040602050305030304" pitchFamily="18" charset="0"/>
            </a:rPr>
            <a:t>TOTAL</a:t>
          </a:r>
          <a:r>
            <a:rPr lang="en-IN" sz="2000" baseline="0">
              <a:latin typeface="Book Antiqua" panose="02040602050305030304" pitchFamily="18" charset="0"/>
            </a:rPr>
            <a:t> SALES BY PRODUCT </a:t>
          </a:r>
          <a:endParaRPr lang="en-IN" sz="2000">
            <a:latin typeface="Book Antiqua" panose="02040602050305030304" pitchFamily="18" charset="0"/>
          </a:endParaRPr>
        </a:p>
      </xdr:txBody>
    </xdr:sp>
    <xdr:clientData/>
  </xdr:twoCellAnchor>
  <xdr:twoCellAnchor>
    <xdr:from>
      <xdr:col>19</xdr:col>
      <xdr:colOff>52107</xdr:colOff>
      <xdr:row>36</xdr:row>
      <xdr:rowOff>139854</xdr:rowOff>
    </xdr:from>
    <xdr:to>
      <xdr:col>31</xdr:col>
      <xdr:colOff>457792</xdr:colOff>
      <xdr:row>63</xdr:row>
      <xdr:rowOff>97937</xdr:rowOff>
    </xdr:to>
    <xdr:sp macro="" textlink="">
      <xdr:nvSpPr>
        <xdr:cNvPr id="52" name="Rectangle: Rounded Corners 51">
          <a:extLst>
            <a:ext uri="{FF2B5EF4-FFF2-40B4-BE49-F238E27FC236}">
              <a16:creationId xmlns:a16="http://schemas.microsoft.com/office/drawing/2014/main" id="{954E5D97-0B4B-0625-C328-DF54E6FEADC6}"/>
            </a:ext>
          </a:extLst>
        </xdr:cNvPr>
        <xdr:cNvSpPr/>
      </xdr:nvSpPr>
      <xdr:spPr>
        <a:xfrm>
          <a:off x="11580885" y="6743854"/>
          <a:ext cx="7687018" cy="4911083"/>
        </a:xfrm>
        <a:prstGeom prst="roundRect">
          <a:avLst/>
        </a:prstGeom>
        <a:solidFill>
          <a:schemeClr val="accent1">
            <a:lumMod val="40000"/>
            <a:lumOff val="60000"/>
          </a:schemeClr>
        </a:solidFill>
        <a:ln>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latin typeface="Book Antiqua" panose="02040602050305030304" pitchFamily="18" charset="0"/>
            </a:rPr>
            <a:t>TOTAL</a:t>
          </a:r>
          <a:r>
            <a:rPr lang="en-IN" sz="2000" baseline="0">
              <a:latin typeface="Book Antiqua" panose="02040602050305030304" pitchFamily="18" charset="0"/>
            </a:rPr>
            <a:t> SALES BY SALES PERSON</a:t>
          </a:r>
          <a:endParaRPr lang="en-IN" sz="2000">
            <a:latin typeface="Book Antiqua" panose="02040602050305030304" pitchFamily="18" charset="0"/>
          </a:endParaRPr>
        </a:p>
      </xdr:txBody>
    </xdr:sp>
    <xdr:clientData/>
  </xdr:twoCellAnchor>
  <xdr:twoCellAnchor>
    <xdr:from>
      <xdr:col>20</xdr:col>
      <xdr:colOff>45721</xdr:colOff>
      <xdr:row>13</xdr:row>
      <xdr:rowOff>12815</xdr:rowOff>
    </xdr:from>
    <xdr:to>
      <xdr:col>31</xdr:col>
      <xdr:colOff>25830</xdr:colOff>
      <xdr:row>34</xdr:row>
      <xdr:rowOff>167898</xdr:rowOff>
    </xdr:to>
    <xdr:graphicFrame macro="">
      <xdr:nvGraphicFramePr>
        <xdr:cNvPr id="54" name="Chart 53">
          <a:extLst>
            <a:ext uri="{FF2B5EF4-FFF2-40B4-BE49-F238E27FC236}">
              <a16:creationId xmlns:a16="http://schemas.microsoft.com/office/drawing/2014/main" id="{9353D32C-FEEE-458D-A3FE-8AA3002C4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532105</xdr:colOff>
      <xdr:row>40</xdr:row>
      <xdr:rowOff>111476</xdr:rowOff>
    </xdr:from>
    <xdr:to>
      <xdr:col>18</xdr:col>
      <xdr:colOff>258305</xdr:colOff>
      <xdr:row>62</xdr:row>
      <xdr:rowOff>77490</xdr:rowOff>
    </xdr:to>
    <xdr:graphicFrame macro="">
      <xdr:nvGraphicFramePr>
        <xdr:cNvPr id="55" name="Chart 54">
          <a:extLst>
            <a:ext uri="{FF2B5EF4-FFF2-40B4-BE49-F238E27FC236}">
              <a16:creationId xmlns:a16="http://schemas.microsoft.com/office/drawing/2014/main" id="{1F8F1395-BCF1-4E3E-B0FB-EC0B9BDCB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458267</xdr:colOff>
      <xdr:row>40</xdr:row>
      <xdr:rowOff>68636</xdr:rowOff>
    </xdr:from>
    <xdr:to>
      <xdr:col>31</xdr:col>
      <xdr:colOff>245389</xdr:colOff>
      <xdr:row>61</xdr:row>
      <xdr:rowOff>154983</xdr:rowOff>
    </xdr:to>
    <xdr:graphicFrame macro="">
      <xdr:nvGraphicFramePr>
        <xdr:cNvPr id="56" name="Chart 55">
          <a:extLst>
            <a:ext uri="{FF2B5EF4-FFF2-40B4-BE49-F238E27FC236}">
              <a16:creationId xmlns:a16="http://schemas.microsoft.com/office/drawing/2014/main" id="{0536EC7F-AA06-48FB-AEF8-62ECD17E6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175260</xdr:rowOff>
    </xdr:from>
    <xdr:to>
      <xdr:col>5</xdr:col>
      <xdr:colOff>45720</xdr:colOff>
      <xdr:row>33</xdr:row>
      <xdr:rowOff>175260</xdr:rowOff>
    </xdr:to>
    <xdr:graphicFrame macro="">
      <xdr:nvGraphicFramePr>
        <xdr:cNvPr id="2" name="Chart 1">
          <a:extLst>
            <a:ext uri="{FF2B5EF4-FFF2-40B4-BE49-F238E27FC236}">
              <a16:creationId xmlns:a16="http://schemas.microsoft.com/office/drawing/2014/main" id="{611DA05D-5762-7011-3DC6-F767A055E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473925</xdr:colOff>
      <xdr:row>16</xdr:row>
      <xdr:rowOff>16190</xdr:rowOff>
    </xdr:from>
    <xdr:to>
      <xdr:col>21</xdr:col>
      <xdr:colOff>11038</xdr:colOff>
      <xdr:row>34</xdr:row>
      <xdr:rowOff>58100</xdr:rowOff>
    </xdr:to>
    <xdr:graphicFrame macro="">
      <xdr:nvGraphicFramePr>
        <xdr:cNvPr id="3" name="Chart 2">
          <a:extLst>
            <a:ext uri="{FF2B5EF4-FFF2-40B4-BE49-F238E27FC236}">
              <a16:creationId xmlns:a16="http://schemas.microsoft.com/office/drawing/2014/main" id="{C296CF6B-23D6-DF1E-AB44-94B9FB281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320274</xdr:colOff>
      <xdr:row>17</xdr:row>
      <xdr:rowOff>108690</xdr:rowOff>
    </xdr:from>
    <xdr:to>
      <xdr:col>10</xdr:col>
      <xdr:colOff>927258</xdr:colOff>
      <xdr:row>32</xdr:row>
      <xdr:rowOff>108690</xdr:rowOff>
    </xdr:to>
    <xdr:graphicFrame macro="">
      <xdr:nvGraphicFramePr>
        <xdr:cNvPr id="4" name="Chart 3">
          <a:extLst>
            <a:ext uri="{FF2B5EF4-FFF2-40B4-BE49-F238E27FC236}">
              <a16:creationId xmlns:a16="http://schemas.microsoft.com/office/drawing/2014/main" id="{E87E6D3E-AFDD-BC86-57F5-5DA4B6EF7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409546</xdr:colOff>
      <xdr:row>0</xdr:row>
      <xdr:rowOff>121522</xdr:rowOff>
    </xdr:from>
    <xdr:to>
      <xdr:col>20</xdr:col>
      <xdr:colOff>69035</xdr:colOff>
      <xdr:row>15</xdr:row>
      <xdr:rowOff>121522</xdr:rowOff>
    </xdr:to>
    <xdr:graphicFrame macro="">
      <xdr:nvGraphicFramePr>
        <xdr:cNvPr id="5" name="Chart 4">
          <a:extLst>
            <a:ext uri="{FF2B5EF4-FFF2-40B4-BE49-F238E27FC236}">
              <a16:creationId xmlns:a16="http://schemas.microsoft.com/office/drawing/2014/main" id="{E9921901-40AC-6ACD-594D-91ADF9A6E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59240</xdr:colOff>
      <xdr:row>35</xdr:row>
      <xdr:rowOff>150306</xdr:rowOff>
    </xdr:from>
    <xdr:to>
      <xdr:col>12</xdr:col>
      <xdr:colOff>209768</xdr:colOff>
      <xdr:row>50</xdr:row>
      <xdr:rowOff>4705</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60CA6FD3-A874-1E33-6B72-3A28D90AC6A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176346" y="6425600"/>
              <a:ext cx="1826928" cy="2543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391467</xdr:colOff>
      <xdr:row>14</xdr:row>
      <xdr:rowOff>127757</xdr:rowOff>
    </xdr:from>
    <xdr:to>
      <xdr:col>7</xdr:col>
      <xdr:colOff>833887</xdr:colOff>
      <xdr:row>18</xdr:row>
      <xdr:rowOff>79075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0BAB716-931D-3159-9EBD-1C74AB1099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90361" y="2637875"/>
              <a:ext cx="1903667" cy="66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1009859</xdr:colOff>
      <xdr:row>33</xdr:row>
      <xdr:rowOff>21281</xdr:rowOff>
    </xdr:from>
    <xdr:to>
      <xdr:col>9</xdr:col>
      <xdr:colOff>629729</xdr:colOff>
      <xdr:row>47</xdr:row>
      <xdr:rowOff>54974</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40A8D0D-7B81-ED04-913E-DD396D3260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070000" y="5937987"/>
              <a:ext cx="1825188" cy="2543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ban Aruldoss" refreshedDate="45923.599640972221" createdVersion="8" refreshedVersion="8" minRefreshableVersion="3" recordCount="50" xr:uid="{09FD5A21-CCC3-456C-9428-FE3FC701A7DB}">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Total 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206650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4AA50-B0A9-4953-A0F4-009B24060E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9">
    <pivotField numFmtId="14" showAll="0"/>
    <pivotField showAll="0"/>
    <pivotField axis="axisRow" showAll="0">
      <items count="5">
        <item x="1"/>
        <item x="3"/>
        <item x="2"/>
        <item x="0"/>
        <item t="default"/>
      </items>
    </pivotField>
    <pivotField showAll="0"/>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2" count="1" selected="0">
            <x v="0"/>
          </reference>
        </references>
      </pivotArea>
    </chartFormat>
    <chartFormat chart="0" format="17">
      <pivotArea type="data" outline="0" fieldPosition="0">
        <references count="2">
          <reference field="4294967294" count="1" selected="0">
            <x v="0"/>
          </reference>
          <reference field="2" count="1" selected="0">
            <x v="1"/>
          </reference>
        </references>
      </pivotArea>
    </chartFormat>
    <chartFormat chart="0" format="18">
      <pivotArea type="data" outline="0" fieldPosition="0">
        <references count="2">
          <reference field="4294967294" count="1" selected="0">
            <x v="0"/>
          </reference>
          <reference field="2" count="1" selected="0">
            <x v="2"/>
          </reference>
        </references>
      </pivotArea>
    </chartFormat>
    <chartFormat chart="0" format="19">
      <pivotArea type="data" outline="0" fieldPosition="0">
        <references count="2">
          <reference field="4294967294" count="1" selected="0">
            <x v="0"/>
          </reference>
          <reference field="2" count="1" selected="0">
            <x v="3"/>
          </reference>
        </references>
      </pivotArea>
    </chartFormat>
    <chartFormat chart="12" format="25" series="1">
      <pivotArea type="data" outline="0" fieldPosition="0">
        <references count="1">
          <reference field="4294967294" count="1" selected="0">
            <x v="0"/>
          </reference>
        </references>
      </pivotArea>
    </chartFormat>
    <chartFormat chart="12" format="26">
      <pivotArea type="data" outline="0" fieldPosition="0">
        <references count="2">
          <reference field="4294967294" count="1" selected="0">
            <x v="0"/>
          </reference>
          <reference field="2" count="1" selected="0">
            <x v="0"/>
          </reference>
        </references>
      </pivotArea>
    </chartFormat>
    <chartFormat chart="12" format="27">
      <pivotArea type="data" outline="0" fieldPosition="0">
        <references count="2">
          <reference field="4294967294" count="1" selected="0">
            <x v="0"/>
          </reference>
          <reference field="2" count="1" selected="0">
            <x v="1"/>
          </reference>
        </references>
      </pivotArea>
    </chartFormat>
    <chartFormat chart="12" format="28">
      <pivotArea type="data" outline="0" fieldPosition="0">
        <references count="2">
          <reference field="4294967294" count="1" selected="0">
            <x v="0"/>
          </reference>
          <reference field="2" count="1" selected="0">
            <x v="2"/>
          </reference>
        </references>
      </pivotArea>
    </chartFormat>
    <chartFormat chart="12" format="2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373E5-77A8-44E2-979D-CEE09FB4E2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K11" firstHeaderRow="1" firstDataRow="1" firstDataCol="1"/>
  <pivotFields count="9">
    <pivotField numFmtId="14" showAll="0"/>
    <pivotField showAll="0"/>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09182-F0A5-4B6B-9F5E-1CC482398D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2" baseItem="0" numFmtId="165"/>
  </dataFields>
  <formats count="1">
    <format dxfId="10">
      <pivotArea collapsedLevelsAreSubtotals="1" fieldPosition="0">
        <references count="1">
          <reference field="1"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3D312-A92F-4370-9C45-7D937BD9B7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5" firstHeaderRow="1" firstDataRow="1" firstDataCol="1"/>
  <pivotFields count="9">
    <pivotField numFmtId="14" showAll="0"/>
    <pivotField showAll="0">
      <items count="11">
        <item h="1" x="0"/>
        <item x="8"/>
        <item h="1" x="3"/>
        <item h="1" x="5"/>
        <item h="1" x="7"/>
        <item h="1" x="2"/>
        <item h="1" x="1"/>
        <item h="1" x="4"/>
        <item h="1" x="9"/>
        <item h="1" x="6"/>
        <item t="default"/>
      </items>
    </pivotField>
    <pivotField showAll="0">
      <items count="5">
        <item h="1" x="1"/>
        <item h="1" x="3"/>
        <item h="1"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2">
    <i>
      <x v="2"/>
    </i>
    <i t="grand">
      <x/>
    </i>
  </rowItems>
  <colItems count="1">
    <i/>
  </colItems>
  <dataFields count="1">
    <dataField name="Sum of Total Sales" fld="7" baseField="2" baseItem="0" numFmtId="165"/>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201EE79-8E11-4792-A56F-8144AD615C59}" sourceName="Sales Person">
  <pivotTables>
    <pivotTable tabId="4" name="PivotTable2"/>
  </pivotTables>
  <data>
    <tabular pivotCacheId="1206650785">
      <items count="10">
        <i x="0"/>
        <i x="8" s="1"/>
        <i x="3"/>
        <i x="5"/>
        <i x="7"/>
        <i x="4"/>
        <i x="6"/>
        <i x="2" nd="1"/>
        <i x="1" nd="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DB9313-16B7-4C87-8048-727C5282C9B9}" sourceName="Region">
  <pivotTables>
    <pivotTable tabId="4" name="PivotTable2"/>
  </pivotTables>
  <data>
    <tabular pivotCacheId="1206650785">
      <items count="4">
        <i x="1"/>
        <i x="3"/>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EFF1D8-28BB-44D5-AC61-4F6BF3BF5C8C}" sourceName="Product">
  <pivotTables>
    <pivotTable tabId="4" name="PivotTable2"/>
  </pivotTables>
  <data>
    <tabular pivotCacheId="1206650785">
      <items count="7">
        <i x="5" s="1"/>
        <i x="2" s="1" nd="1"/>
        <i x="1" s="1" nd="1"/>
        <i x="3" s="1" nd="1"/>
        <i x="6" s="1" nd="1"/>
        <i x="4"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BD9D46E0-A210-44A8-B88D-BAA028A73F62}" cache="Slicer_Sales_Person" caption="Sales Person" rowHeight="247650"/>
  <slicer name="Region 1" xr10:uid="{DED9233D-0AD8-44DD-A5AF-F8D763FE1D2B}" cache="Slicer_Region" caption="Region" columnCount="2" showCaption="0" rowHeight="247650"/>
  <slicer name="Product 1" xr10:uid="{0CDD3A54-A78A-428B-96AB-DCF2A83416A3}"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7823355D-6F80-47FC-8461-1C6DCD198F6A}" cache="Slicer_Sales_Person" caption="Sales Person" rowHeight="247650"/>
  <slicer name="Region" xr10:uid="{26E458FF-4B3A-4D2F-949B-FA08A7A6DEE4}" cache="Slicer_Region" caption="Region" columnCount="2" showCaption="0" rowHeight="247650"/>
  <slicer name="Product" xr10:uid="{F82ABFBD-8F6D-4ADC-88D0-D0F3A9F2E179}"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D3F69C-43C1-4874-A915-E9F3CBC09D71}" name="Table2" displayName="Table2" ref="A3:I15" totalsRowShown="0">
  <autoFilter ref="A3:I15" xr:uid="{CBD3F69C-43C1-4874-A915-E9F3CBC09D71}"/>
  <tableColumns count="9">
    <tableColumn id="1" xr3:uid="{FDAC1B88-E19A-4EE9-9E6A-2578256E30ED}" name="Date" dataDxfId="12"/>
    <tableColumn id="2" xr3:uid="{DB32899E-4E02-47B3-93D5-5F2AD14A57A4}" name="Sales Person"/>
    <tableColumn id="3" xr3:uid="{42B7C8DC-DC72-4A43-ACF7-4F5C3464AB91}" name="Region"/>
    <tableColumn id="4" xr3:uid="{A4064C7F-8446-4990-A678-03BBA527A3D3}" name="Product"/>
    <tableColumn id="5" xr3:uid="{725F4934-E211-41B1-A6BF-03821C21C288}" name="Units Sold"/>
    <tableColumn id="6" xr3:uid="{C84EC5C3-EC89-4953-BEDD-F8B9ECAAA184}" name="Unit Price"/>
    <tableColumn id="7" xr3:uid="{4B3D948A-7B65-4C07-B2A7-FAF23701A21A}" name="Cost of Goods"/>
    <tableColumn id="8" xr3:uid="{FE1E63FA-9985-4C29-B506-CACCC7D1485F}" name="Total Sales"/>
    <tableColumn id="9" xr3:uid="{3B9E7EE0-A2CF-421A-B55F-E205D5E9F874}" name="Total 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FD2498-93CF-4E4F-A130-CD55B9C2D6EA}" name="Table3" displayName="Table3" ref="A3:I10" totalsRowShown="0">
  <autoFilter ref="A3:I10" xr:uid="{D4FD2498-93CF-4E4F-A130-CD55B9C2D6EA}"/>
  <tableColumns count="9">
    <tableColumn id="1" xr3:uid="{0F2899E4-C6C1-4961-A855-1086D5507667}" name="Date" dataDxfId="11"/>
    <tableColumn id="2" xr3:uid="{6A8B9AAB-DEA2-4A17-94AB-552F731C9409}" name="Sales Person"/>
    <tableColumn id="3" xr3:uid="{B86E0EA3-53EF-437C-AA23-A174E1A61382}" name="Region"/>
    <tableColumn id="4" xr3:uid="{4C11F437-5B3B-4A51-B13B-B45BC67F9E05}" name="Product"/>
    <tableColumn id="5" xr3:uid="{898A8F8D-FF3E-47B7-800C-8707F432A202}" name="Units Sold"/>
    <tableColumn id="6" xr3:uid="{DB795F24-10F6-4C92-AC23-893E1AF32612}" name="Unit Price"/>
    <tableColumn id="7" xr3:uid="{1CF057DB-2B65-4F25-A8F7-14B18A2A15BD}" name="Cost of Goods"/>
    <tableColumn id="8" xr3:uid="{1D233AAC-C8C1-4702-B0FB-CC9FF65A245F}" name="Total Sales"/>
    <tableColumn id="9" xr3:uid="{1C51DBB7-7BFA-421F-84D0-6F22E57653F5}" name="Total 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BB859F-0F73-4701-9729-A65C982A1FAA}" name="Table1" displayName="Table1" ref="A1:I51" totalsRowShown="0" headerRowDxfId="9" dataDxfId="7" headerRowBorderDxfId="8" headerRowCellStyle="Currency" dataCellStyle="Currency">
  <autoFilter ref="A1:I51" xr:uid="{B7BB859F-0F73-4701-9729-A65C982A1FAA}"/>
  <tableColumns count="9">
    <tableColumn id="1" xr3:uid="{3B485863-7ACA-40E7-A053-C90159302C1C}" name="Date" dataDxfId="6" dataCellStyle="Currency"/>
    <tableColumn id="2" xr3:uid="{41600A38-65EF-4BF5-ADF6-2A81EA273E14}" name="Sales Person" dataCellStyle="Currency"/>
    <tableColumn id="3" xr3:uid="{BE1813F0-54C9-4C4A-83E2-11CE4B95EB36}" name="Region" dataCellStyle="Currency"/>
    <tableColumn id="4" xr3:uid="{7F7F63EC-489F-4A70-81A4-4E723146CAAC}" name="Product" dataCellStyle="Currency"/>
    <tableColumn id="5" xr3:uid="{FEB0A402-3157-43E7-9139-04810418DE1B}" name="Units Sold" dataDxfId="5" dataCellStyle="Currency"/>
    <tableColumn id="6" xr3:uid="{30410961-982D-4973-81EB-440667A1E5F4}" name="Unit Price" dataDxfId="4" dataCellStyle="Currency">
      <calculatedColumnFormula>IF(D2="Tent",6000,IF(D2="Blender",3500,IF(D2="Action Figure",1200,IF(D2="Novel",1000,IF(D2="Sneakers",4000,IF(D2="Smartphone",10000,IF(D2="moisturizer",600,"No Product Found")))))))</calculatedColumnFormula>
    </tableColumn>
    <tableColumn id="7" xr3:uid="{0C734DF5-6AAE-460E-A51B-0041F47A3C4D}" name="Cost of Goods" dataDxfId="3" dataCellStyle="Currency">
      <calculatedColumnFormula>IF(D2="Tent",4000,IF(D2="Blender",2500,IF(D2="Action Figure",800,IF(D2="Novel",700,IF(D2="Sneakers",3000,IF(D2="Smartphone",7000,IF(D2="moisturizer",400,"No Product Found")))))))</calculatedColumnFormula>
    </tableColumn>
    <tableColumn id="8" xr3:uid="{31252553-CD26-4FD0-890C-E39DD37598A7}" name="Total Sales" dataDxfId="2" dataCellStyle="Currency">
      <calculatedColumnFormula>F2*E2</calculatedColumnFormula>
    </tableColumn>
    <tableColumn id="9" xr3:uid="{88D2F3F4-32BB-4498-BA70-388C07761E39}" name="Total profit" dataCellStyle="Currency">
      <calculatedColumnFormula>H2-(G2*E2)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479464-C937-4B61-92E7-8AAC1E5821FC}" name="Table4" displayName="Table4" ref="K1:K11" totalsRowShown="0" headerRowDxfId="1" headerRowBorderDxfId="0" headerRowCellStyle="Currency" dataCellStyle="Currency">
  <autoFilter ref="K1:K11" xr:uid="{CF479464-C937-4B61-92E7-8AAC1E5821FC}"/>
  <tableColumns count="1">
    <tableColumn id="1" xr3:uid="{D0F5512E-C9AE-40BC-ABB6-35FBF8117F81}" name="Total Sale"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CE01-69C1-4AE7-BB67-5C05C044B22A}">
  <dimension ref="A1:I15"/>
  <sheetViews>
    <sheetView workbookViewId="0">
      <selection activeCell="B1" sqref="B1:B1048576"/>
    </sheetView>
  </sheetViews>
  <sheetFormatPr defaultRowHeight="14.4" x14ac:dyDescent="0.3"/>
  <cols>
    <col min="1" max="1" width="10.33203125" bestFit="1" customWidth="1"/>
    <col min="2" max="2" width="13.77734375" bestFit="1" customWidth="1"/>
    <col min="3" max="3" width="9" bestFit="1" customWidth="1"/>
    <col min="4" max="4" width="11.44140625" bestFit="1" customWidth="1"/>
    <col min="5" max="5" width="11.6640625" bestFit="1" customWidth="1"/>
    <col min="6" max="6" width="11.33203125" bestFit="1" customWidth="1"/>
    <col min="7" max="7" width="14.5546875" bestFit="1" customWidth="1"/>
    <col min="8" max="9" width="12.21875" bestFit="1" customWidth="1"/>
  </cols>
  <sheetData>
    <row r="1" spans="1:9" x14ac:dyDescent="0.3">
      <c r="A1" s="5" t="s">
        <v>37</v>
      </c>
    </row>
    <row r="3" spans="1:9" x14ac:dyDescent="0.3">
      <c r="A3" t="s">
        <v>0</v>
      </c>
      <c r="B3" t="s">
        <v>1</v>
      </c>
      <c r="C3" t="s">
        <v>2</v>
      </c>
      <c r="D3" t="s">
        <v>3</v>
      </c>
      <c r="E3" t="s">
        <v>4</v>
      </c>
      <c r="F3" t="s">
        <v>5</v>
      </c>
      <c r="G3" t="s">
        <v>6</v>
      </c>
      <c r="H3" t="s">
        <v>7</v>
      </c>
      <c r="I3" t="s">
        <v>29</v>
      </c>
    </row>
    <row r="4" spans="1:9" x14ac:dyDescent="0.3">
      <c r="A4" s="4">
        <v>43958</v>
      </c>
      <c r="B4" t="s">
        <v>11</v>
      </c>
      <c r="C4" t="s">
        <v>12</v>
      </c>
      <c r="D4" t="s">
        <v>10</v>
      </c>
      <c r="E4">
        <v>73</v>
      </c>
      <c r="F4">
        <v>6000</v>
      </c>
      <c r="G4">
        <v>4000</v>
      </c>
      <c r="H4">
        <v>438000</v>
      </c>
      <c r="I4">
        <v>146000</v>
      </c>
    </row>
    <row r="5" spans="1:9" x14ac:dyDescent="0.3">
      <c r="A5" s="4">
        <v>44446</v>
      </c>
      <c r="B5" t="s">
        <v>11</v>
      </c>
      <c r="C5" t="s">
        <v>12</v>
      </c>
      <c r="D5" t="s">
        <v>13</v>
      </c>
      <c r="E5">
        <v>128</v>
      </c>
      <c r="F5">
        <v>3500</v>
      </c>
      <c r="G5">
        <v>2500</v>
      </c>
      <c r="H5">
        <v>448000</v>
      </c>
      <c r="I5">
        <v>128000</v>
      </c>
    </row>
    <row r="6" spans="1:9" x14ac:dyDescent="0.3">
      <c r="A6" s="4">
        <v>44193</v>
      </c>
      <c r="B6" t="s">
        <v>25</v>
      </c>
      <c r="C6" t="s">
        <v>12</v>
      </c>
      <c r="D6" t="s">
        <v>21</v>
      </c>
      <c r="E6">
        <v>61</v>
      </c>
      <c r="F6">
        <v>4000</v>
      </c>
      <c r="G6">
        <v>3000</v>
      </c>
      <c r="H6">
        <v>244000</v>
      </c>
      <c r="I6">
        <v>61000</v>
      </c>
    </row>
    <row r="7" spans="1:9" x14ac:dyDescent="0.3">
      <c r="A7" s="4">
        <v>44322</v>
      </c>
      <c r="B7" t="s">
        <v>14</v>
      </c>
      <c r="C7" t="s">
        <v>12</v>
      </c>
      <c r="D7" t="s">
        <v>13</v>
      </c>
      <c r="E7">
        <v>66</v>
      </c>
      <c r="F7">
        <v>3500</v>
      </c>
      <c r="G7">
        <v>2500</v>
      </c>
      <c r="H7">
        <v>231000</v>
      </c>
      <c r="I7">
        <v>66000</v>
      </c>
    </row>
    <row r="8" spans="1:9" x14ac:dyDescent="0.3">
      <c r="A8" s="4">
        <v>44109</v>
      </c>
      <c r="B8" t="s">
        <v>14</v>
      </c>
      <c r="C8" t="s">
        <v>12</v>
      </c>
      <c r="D8" t="s">
        <v>26</v>
      </c>
      <c r="E8">
        <v>90</v>
      </c>
      <c r="F8">
        <v>600</v>
      </c>
      <c r="G8">
        <v>400</v>
      </c>
      <c r="H8">
        <v>54000</v>
      </c>
      <c r="I8">
        <v>18000</v>
      </c>
    </row>
    <row r="9" spans="1:9" x14ac:dyDescent="0.3">
      <c r="A9" s="4">
        <v>44105</v>
      </c>
      <c r="B9" t="s">
        <v>22</v>
      </c>
      <c r="C9" t="s">
        <v>12</v>
      </c>
      <c r="D9" t="s">
        <v>16</v>
      </c>
      <c r="E9">
        <v>51</v>
      </c>
      <c r="F9">
        <v>1200</v>
      </c>
      <c r="G9">
        <v>800</v>
      </c>
      <c r="H9">
        <v>61200</v>
      </c>
      <c r="I9">
        <v>20400</v>
      </c>
    </row>
    <row r="10" spans="1:9" x14ac:dyDescent="0.3">
      <c r="A10" s="4">
        <v>44536</v>
      </c>
      <c r="B10" t="s">
        <v>11</v>
      </c>
      <c r="C10" t="s">
        <v>12</v>
      </c>
      <c r="D10" t="s">
        <v>16</v>
      </c>
      <c r="E10">
        <v>67</v>
      </c>
      <c r="F10">
        <v>1200</v>
      </c>
      <c r="G10">
        <v>800</v>
      </c>
      <c r="H10">
        <v>80400</v>
      </c>
      <c r="I10">
        <v>26800</v>
      </c>
    </row>
    <row r="11" spans="1:9" x14ac:dyDescent="0.3">
      <c r="A11" s="4">
        <v>44126</v>
      </c>
      <c r="B11" t="s">
        <v>17</v>
      </c>
      <c r="C11" t="s">
        <v>12</v>
      </c>
      <c r="D11" t="s">
        <v>28</v>
      </c>
      <c r="E11">
        <v>127</v>
      </c>
      <c r="F11">
        <v>10000</v>
      </c>
      <c r="G11">
        <v>7000</v>
      </c>
      <c r="H11">
        <v>1270000</v>
      </c>
      <c r="I11">
        <v>381000</v>
      </c>
    </row>
    <row r="12" spans="1:9" x14ac:dyDescent="0.3">
      <c r="A12" s="4">
        <v>44438</v>
      </c>
      <c r="B12" t="s">
        <v>22</v>
      </c>
      <c r="C12" t="s">
        <v>12</v>
      </c>
      <c r="D12" t="s">
        <v>21</v>
      </c>
      <c r="E12">
        <v>93</v>
      </c>
      <c r="F12">
        <v>4000</v>
      </c>
      <c r="G12">
        <v>3000</v>
      </c>
      <c r="H12">
        <v>372000</v>
      </c>
      <c r="I12">
        <v>93000</v>
      </c>
    </row>
    <row r="13" spans="1:9" x14ac:dyDescent="0.3">
      <c r="A13" s="4">
        <v>44418</v>
      </c>
      <c r="B13" t="s">
        <v>8</v>
      </c>
      <c r="C13" t="s">
        <v>12</v>
      </c>
      <c r="D13" t="s">
        <v>26</v>
      </c>
      <c r="E13">
        <v>103</v>
      </c>
      <c r="F13">
        <v>600</v>
      </c>
      <c r="G13">
        <v>400</v>
      </c>
      <c r="H13">
        <v>61800</v>
      </c>
      <c r="I13">
        <v>20600</v>
      </c>
    </row>
    <row r="14" spans="1:9" x14ac:dyDescent="0.3">
      <c r="A14" s="4">
        <v>44469</v>
      </c>
      <c r="B14" t="s">
        <v>27</v>
      </c>
      <c r="C14" t="s">
        <v>12</v>
      </c>
      <c r="D14" t="s">
        <v>16</v>
      </c>
      <c r="E14">
        <v>55</v>
      </c>
      <c r="F14">
        <v>1200</v>
      </c>
      <c r="G14">
        <v>800</v>
      </c>
      <c r="H14">
        <v>66000</v>
      </c>
      <c r="I14">
        <v>22000</v>
      </c>
    </row>
    <row r="15" spans="1:9" x14ac:dyDescent="0.3">
      <c r="A15" s="4">
        <v>44113</v>
      </c>
      <c r="B15" t="s">
        <v>25</v>
      </c>
      <c r="C15" t="s">
        <v>12</v>
      </c>
      <c r="D15" t="s">
        <v>21</v>
      </c>
      <c r="E15">
        <v>52</v>
      </c>
      <c r="F15">
        <v>4000</v>
      </c>
      <c r="G15">
        <v>3000</v>
      </c>
      <c r="H15">
        <v>208000</v>
      </c>
      <c r="I15">
        <v>52000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FFF7-9FD8-43DE-9644-CDB0A51DC528}">
  <dimension ref="A1:I10"/>
  <sheetViews>
    <sheetView workbookViewId="0">
      <selection activeCell="A3" sqref="A3:I10"/>
    </sheetView>
  </sheetViews>
  <sheetFormatPr defaultRowHeight="14.4" x14ac:dyDescent="0.3"/>
  <cols>
    <col min="1" max="1" width="10.33203125" bestFit="1" customWidth="1"/>
    <col min="2" max="2" width="13.77734375" bestFit="1" customWidth="1"/>
    <col min="3" max="3" width="9" bestFit="1" customWidth="1"/>
    <col min="4" max="4" width="11.44140625" bestFit="1" customWidth="1"/>
    <col min="5" max="5" width="11.6640625" bestFit="1" customWidth="1"/>
    <col min="6" max="6" width="11.33203125" bestFit="1" customWidth="1"/>
    <col min="7" max="7" width="14.5546875" bestFit="1" customWidth="1"/>
    <col min="8" max="9" width="12.21875" bestFit="1" customWidth="1"/>
  </cols>
  <sheetData>
    <row r="1" spans="1:9" x14ac:dyDescent="0.3">
      <c r="A1" s="5" t="s">
        <v>40</v>
      </c>
    </row>
    <row r="3" spans="1:9" x14ac:dyDescent="0.3">
      <c r="A3" t="s">
        <v>0</v>
      </c>
      <c r="B3" t="s">
        <v>1</v>
      </c>
      <c r="C3" t="s">
        <v>2</v>
      </c>
      <c r="D3" t="s">
        <v>3</v>
      </c>
      <c r="E3" t="s">
        <v>4</v>
      </c>
      <c r="F3" t="s">
        <v>5</v>
      </c>
      <c r="G3" t="s">
        <v>6</v>
      </c>
      <c r="H3" t="s">
        <v>7</v>
      </c>
      <c r="I3" t="s">
        <v>29</v>
      </c>
    </row>
    <row r="4" spans="1:9" x14ac:dyDescent="0.3">
      <c r="A4" s="4">
        <v>44496</v>
      </c>
      <c r="B4" t="s">
        <v>20</v>
      </c>
      <c r="C4" t="s">
        <v>18</v>
      </c>
      <c r="D4" t="s">
        <v>26</v>
      </c>
      <c r="E4">
        <v>130</v>
      </c>
      <c r="F4">
        <v>600</v>
      </c>
      <c r="G4">
        <v>400</v>
      </c>
      <c r="H4">
        <v>78000</v>
      </c>
      <c r="I4">
        <v>26000</v>
      </c>
    </row>
    <row r="5" spans="1:9" x14ac:dyDescent="0.3">
      <c r="A5" s="4">
        <v>44232</v>
      </c>
      <c r="B5" t="s">
        <v>20</v>
      </c>
      <c r="C5" t="s">
        <v>9</v>
      </c>
      <c r="D5" t="s">
        <v>16</v>
      </c>
      <c r="E5">
        <v>59</v>
      </c>
      <c r="F5">
        <v>1200</v>
      </c>
      <c r="G5">
        <v>800</v>
      </c>
      <c r="H5">
        <v>70800</v>
      </c>
      <c r="I5">
        <v>23600</v>
      </c>
    </row>
    <row r="6" spans="1:9" x14ac:dyDescent="0.3">
      <c r="A6" s="4">
        <v>44378</v>
      </c>
      <c r="B6" t="s">
        <v>20</v>
      </c>
      <c r="C6" t="s">
        <v>18</v>
      </c>
      <c r="D6" t="s">
        <v>26</v>
      </c>
      <c r="E6">
        <v>104</v>
      </c>
      <c r="F6">
        <v>600</v>
      </c>
      <c r="G6">
        <v>400</v>
      </c>
      <c r="H6">
        <v>62400</v>
      </c>
      <c r="I6">
        <v>20800</v>
      </c>
    </row>
    <row r="7" spans="1:9" x14ac:dyDescent="0.3">
      <c r="A7" s="4">
        <v>43970</v>
      </c>
      <c r="B7" t="s">
        <v>20</v>
      </c>
      <c r="C7" t="s">
        <v>9</v>
      </c>
      <c r="D7" t="s">
        <v>21</v>
      </c>
      <c r="E7">
        <v>67</v>
      </c>
      <c r="F7">
        <v>4000</v>
      </c>
      <c r="G7">
        <v>3000</v>
      </c>
      <c r="H7">
        <v>268000</v>
      </c>
      <c r="I7">
        <v>67000</v>
      </c>
    </row>
    <row r="8" spans="1:9" x14ac:dyDescent="0.3">
      <c r="A8" s="4">
        <v>44462</v>
      </c>
      <c r="B8" t="s">
        <v>20</v>
      </c>
      <c r="C8" t="s">
        <v>9</v>
      </c>
      <c r="D8" t="s">
        <v>21</v>
      </c>
      <c r="E8">
        <v>110</v>
      </c>
      <c r="F8">
        <v>4000</v>
      </c>
      <c r="G8">
        <v>3000</v>
      </c>
      <c r="H8">
        <v>440000</v>
      </c>
      <c r="I8">
        <v>110000</v>
      </c>
    </row>
    <row r="9" spans="1:9" x14ac:dyDescent="0.3">
      <c r="A9" s="4">
        <v>43990</v>
      </c>
      <c r="B9" t="s">
        <v>20</v>
      </c>
      <c r="C9" t="s">
        <v>15</v>
      </c>
      <c r="D9" t="s">
        <v>26</v>
      </c>
      <c r="E9">
        <v>92</v>
      </c>
      <c r="F9">
        <v>600</v>
      </c>
      <c r="G9">
        <v>400</v>
      </c>
      <c r="H9">
        <v>55200</v>
      </c>
      <c r="I9">
        <v>18400</v>
      </c>
    </row>
    <row r="10" spans="1:9" x14ac:dyDescent="0.3">
      <c r="A10" s="4">
        <v>44421</v>
      </c>
      <c r="B10" t="s">
        <v>20</v>
      </c>
      <c r="C10" t="s">
        <v>15</v>
      </c>
      <c r="D10" t="s">
        <v>19</v>
      </c>
      <c r="E10">
        <v>91</v>
      </c>
      <c r="F10">
        <v>1000</v>
      </c>
      <c r="G10">
        <v>700</v>
      </c>
      <c r="H10">
        <v>91000</v>
      </c>
      <c r="I10">
        <v>27300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7350-3E5D-4A0E-BB2A-1C436D5FD7A2}">
  <dimension ref="A1"/>
  <sheetViews>
    <sheetView tabSelected="1" zoomScale="54" workbookViewId="0">
      <selection activeCell="AH40" sqref="AH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9D84-2BC4-4395-B8BD-CE5A297F791C}">
  <dimension ref="A3:K14"/>
  <sheetViews>
    <sheetView topLeftCell="F1" zoomScale="85" zoomScaleNormal="85" workbookViewId="0">
      <selection activeCell="M7" sqref="M7"/>
    </sheetView>
  </sheetViews>
  <sheetFormatPr defaultRowHeight="14.4" x14ac:dyDescent="0.3"/>
  <cols>
    <col min="1" max="1" width="12.44140625" bestFit="1" customWidth="1"/>
    <col min="2" max="2" width="16.109375" bestFit="1" customWidth="1"/>
    <col min="4" max="4" width="13" bestFit="1" customWidth="1"/>
    <col min="5" max="5" width="16.6640625" bestFit="1" customWidth="1"/>
    <col min="7" max="7" width="12.44140625" bestFit="1" customWidth="1"/>
    <col min="8" max="8" width="16.109375" bestFit="1" customWidth="1"/>
    <col min="9" max="9" width="16.109375" customWidth="1"/>
    <col min="10" max="10" width="12.44140625" bestFit="1" customWidth="1"/>
    <col min="11" max="11" width="15.5546875" bestFit="1" customWidth="1"/>
  </cols>
  <sheetData>
    <row r="3" spans="1:11" x14ac:dyDescent="0.3">
      <c r="A3" s="2" t="s">
        <v>34</v>
      </c>
      <c r="B3" t="s">
        <v>36</v>
      </c>
      <c r="D3" s="2" t="s">
        <v>34</v>
      </c>
      <c r="E3" t="s">
        <v>36</v>
      </c>
      <c r="G3" s="2" t="s">
        <v>34</v>
      </c>
      <c r="H3" t="s">
        <v>36</v>
      </c>
      <c r="J3" s="2" t="s">
        <v>34</v>
      </c>
      <c r="K3" t="s">
        <v>38</v>
      </c>
    </row>
    <row r="4" spans="1:11" x14ac:dyDescent="0.3">
      <c r="A4" s="1" t="s">
        <v>12</v>
      </c>
      <c r="B4" s="3">
        <v>3534400</v>
      </c>
      <c r="D4" s="1" t="s">
        <v>26</v>
      </c>
      <c r="E4" s="3">
        <v>60600</v>
      </c>
      <c r="G4" s="1" t="s">
        <v>8</v>
      </c>
      <c r="H4" s="3">
        <v>1591600</v>
      </c>
      <c r="I4" s="3"/>
      <c r="J4" s="1" t="s">
        <v>16</v>
      </c>
      <c r="K4">
        <v>456</v>
      </c>
    </row>
    <row r="5" spans="1:11" x14ac:dyDescent="0.3">
      <c r="A5" s="1" t="s">
        <v>18</v>
      </c>
      <c r="B5" s="3">
        <v>2661400</v>
      </c>
      <c r="D5" s="1" t="s">
        <v>35</v>
      </c>
      <c r="E5" s="3">
        <v>60600</v>
      </c>
      <c r="G5" s="1" t="s">
        <v>25</v>
      </c>
      <c r="H5" s="6">
        <v>677600</v>
      </c>
      <c r="I5" s="3"/>
      <c r="J5" s="1" t="s">
        <v>13</v>
      </c>
      <c r="K5">
        <v>635</v>
      </c>
    </row>
    <row r="6" spans="1:11" x14ac:dyDescent="0.3">
      <c r="A6" s="1" t="s">
        <v>15</v>
      </c>
      <c r="B6" s="3">
        <v>2870600</v>
      </c>
      <c r="G6" s="1" t="s">
        <v>17</v>
      </c>
      <c r="H6" s="3">
        <v>1957000</v>
      </c>
      <c r="I6" s="3"/>
      <c r="J6" s="1" t="s">
        <v>26</v>
      </c>
      <c r="K6">
        <v>1178</v>
      </c>
    </row>
    <row r="7" spans="1:11" x14ac:dyDescent="0.3">
      <c r="A7" s="1" t="s">
        <v>9</v>
      </c>
      <c r="B7" s="3">
        <v>3878100</v>
      </c>
      <c r="G7" s="1" t="s">
        <v>22</v>
      </c>
      <c r="H7" s="3">
        <v>1661400</v>
      </c>
      <c r="I7" s="3"/>
      <c r="J7" s="1" t="s">
        <v>19</v>
      </c>
      <c r="K7">
        <v>898</v>
      </c>
    </row>
    <row r="8" spans="1:11" x14ac:dyDescent="0.3">
      <c r="A8" s="1" t="s">
        <v>35</v>
      </c>
      <c r="B8" s="3">
        <v>12944500</v>
      </c>
      <c r="G8" s="1" t="s">
        <v>24</v>
      </c>
      <c r="H8" s="3">
        <v>1741200</v>
      </c>
      <c r="I8" s="3"/>
      <c r="J8" s="1" t="s">
        <v>28</v>
      </c>
      <c r="K8">
        <v>235</v>
      </c>
    </row>
    <row r="9" spans="1:11" x14ac:dyDescent="0.3">
      <c r="G9" s="1" t="s">
        <v>14</v>
      </c>
      <c r="H9" s="3">
        <v>1110000</v>
      </c>
      <c r="I9" s="3"/>
      <c r="J9" s="1" t="s">
        <v>21</v>
      </c>
      <c r="K9">
        <v>799</v>
      </c>
    </row>
    <row r="10" spans="1:11" x14ac:dyDescent="0.3">
      <c r="G10" s="1" t="s">
        <v>11</v>
      </c>
      <c r="H10" s="3">
        <v>1777400</v>
      </c>
      <c r="I10" s="3"/>
      <c r="J10" s="1" t="s">
        <v>10</v>
      </c>
      <c r="K10">
        <v>504</v>
      </c>
    </row>
    <row r="11" spans="1:11" x14ac:dyDescent="0.3">
      <c r="G11" s="1" t="s">
        <v>20</v>
      </c>
      <c r="H11" s="3">
        <v>1065400</v>
      </c>
      <c r="I11" s="3"/>
      <c r="J11" s="1" t="s">
        <v>35</v>
      </c>
      <c r="K11">
        <v>4705</v>
      </c>
    </row>
    <row r="12" spans="1:11" x14ac:dyDescent="0.3">
      <c r="G12" s="1" t="s">
        <v>27</v>
      </c>
      <c r="H12" s="3">
        <v>784400</v>
      </c>
      <c r="I12" s="3"/>
    </row>
    <row r="13" spans="1:11" x14ac:dyDescent="0.3">
      <c r="G13" s="1" t="s">
        <v>23</v>
      </c>
      <c r="H13" s="3">
        <v>578500</v>
      </c>
      <c r="I13" s="3"/>
      <c r="J13" s="1" t="s">
        <v>39</v>
      </c>
    </row>
    <row r="14" spans="1:11" x14ac:dyDescent="0.3">
      <c r="G14" s="1" t="s">
        <v>35</v>
      </c>
      <c r="H14" s="3">
        <v>12944500</v>
      </c>
      <c r="I14" s="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K2" sqref="K2"/>
    </sheetView>
  </sheetViews>
  <sheetFormatPr defaultRowHeight="14.4" x14ac:dyDescent="0.3"/>
  <cols>
    <col min="1" max="1" width="12.88671875" style="8" customWidth="1"/>
    <col min="2" max="2" width="13.44140625" style="8" customWidth="1"/>
    <col min="3" max="3" width="8.88671875" style="8"/>
    <col min="4" max="4" width="15.6640625" style="8" customWidth="1"/>
    <col min="5" max="5" width="11.33203125" style="8" customWidth="1"/>
    <col min="6" max="6" width="11" style="8" customWidth="1"/>
    <col min="7" max="7" width="14.21875" style="8" customWidth="1"/>
    <col min="8" max="9" width="13.5546875" style="8" customWidth="1"/>
    <col min="10" max="10" width="12.21875" style="8" bestFit="1" customWidth="1"/>
    <col min="11" max="11" width="15.33203125" style="8" bestFit="1" customWidth="1"/>
    <col min="12" max="16384" width="8.88671875" style="8"/>
  </cols>
  <sheetData>
    <row r="1" spans="1:11" ht="20.100000000000001" customHeight="1" thickBot="1" x14ac:dyDescent="0.35">
      <c r="A1" s="10" t="s">
        <v>0</v>
      </c>
      <c r="B1" s="10" t="s">
        <v>1</v>
      </c>
      <c r="C1" s="10" t="s">
        <v>2</v>
      </c>
      <c r="D1" s="10" t="s">
        <v>3</v>
      </c>
      <c r="E1" s="10" t="s">
        <v>4</v>
      </c>
      <c r="F1" s="10" t="s">
        <v>5</v>
      </c>
      <c r="G1" s="10" t="s">
        <v>6</v>
      </c>
      <c r="H1" s="10" t="s">
        <v>7</v>
      </c>
      <c r="I1" s="10" t="s">
        <v>29</v>
      </c>
      <c r="K1" s="10" t="s">
        <v>30</v>
      </c>
    </row>
    <row r="2" spans="1:11" ht="15" thickTop="1" x14ac:dyDescent="0.3">
      <c r="A2" s="7">
        <v>44246</v>
      </c>
      <c r="B2" s="8" t="s">
        <v>8</v>
      </c>
      <c r="C2" s="8" t="s">
        <v>9</v>
      </c>
      <c r="D2" s="8" t="s">
        <v>10</v>
      </c>
      <c r="E2" s="9">
        <v>84</v>
      </c>
      <c r="F2" s="8">
        <f>IF(D2="Tent",6000,IF(D2="Blender",3500,IF(D2="Action Figure",1200,IF(D2="Novel",1000,IF(D2="Sneakers",4000,IF(D2="Smartphone",10000,IF(D2="moisturizer",600,"No Product Found")))))))</f>
        <v>6000</v>
      </c>
      <c r="G2" s="8">
        <f>IF(D2="Tent",4000,IF(D2="Blender",2500,IF(D2="Action Figure",800,IF(D2="Novel",700,IF(D2="Sneakers",3000,IF(D2="Smartphone",7000,IF(D2="moisturizer",400,"No Product Found")))))))</f>
        <v>4000</v>
      </c>
      <c r="H2" s="8">
        <f>F2*E2</f>
        <v>504000</v>
      </c>
      <c r="I2" s="8">
        <f>H2-(G2*E2)</f>
        <v>168000</v>
      </c>
      <c r="K2" s="11">
        <f>SUM(H2:H51)</f>
        <v>12944500</v>
      </c>
    </row>
    <row r="3" spans="1:11" x14ac:dyDescent="0.3">
      <c r="A3" s="7">
        <v>44446</v>
      </c>
      <c r="B3" s="8" t="s">
        <v>11</v>
      </c>
      <c r="C3" s="8" t="s">
        <v>12</v>
      </c>
      <c r="D3" s="8" t="s">
        <v>13</v>
      </c>
      <c r="E3" s="9">
        <v>128</v>
      </c>
      <c r="F3" s="8">
        <f t="shared" ref="F3:F51" si="0">IF(D3="Tent",6000,IF(D3="Blender",3500,IF(D3="Action Figure",1200,IF(D3="Novel",1000,IF(D3="Sneakers",4000,IF(D3="Smartphone",10000,IF(D3="moisturizer",600,"No Product Found")))))))</f>
        <v>3500</v>
      </c>
      <c r="G3" s="8">
        <f t="shared" ref="G3:G51" si="1">IF(D3="Tent",4000,IF(D3="Blender",2500,IF(D3="Action Figure",800,IF(D3="Novel",700,IF(D3="Sneakers",3000,IF(D3="Smartphone",7000,IF(D3="moisturizer",400,"No Product Found")))))))</f>
        <v>2500</v>
      </c>
      <c r="H3" s="8">
        <f t="shared" ref="H3:H51" si="2">F3*E3</f>
        <v>448000</v>
      </c>
      <c r="I3" s="8">
        <f t="shared" ref="I3:I51" si="3">H3-(G3*E3)</f>
        <v>128000</v>
      </c>
    </row>
    <row r="4" spans="1:11" ht="15" thickBot="1" x14ac:dyDescent="0.35">
      <c r="A4" s="7">
        <v>44230</v>
      </c>
      <c r="B4" s="8" t="s">
        <v>14</v>
      </c>
      <c r="C4" s="8" t="s">
        <v>15</v>
      </c>
      <c r="D4" s="8" t="s">
        <v>16</v>
      </c>
      <c r="E4" s="9">
        <v>136</v>
      </c>
      <c r="F4" s="8">
        <f t="shared" si="0"/>
        <v>1200</v>
      </c>
      <c r="G4" s="8">
        <f t="shared" si="1"/>
        <v>800</v>
      </c>
      <c r="H4" s="8">
        <f t="shared" si="2"/>
        <v>163200</v>
      </c>
      <c r="I4" s="8">
        <f t="shared" si="3"/>
        <v>54400</v>
      </c>
      <c r="K4" s="10" t="s">
        <v>31</v>
      </c>
    </row>
    <row r="5" spans="1:11" ht="15" thickTop="1" x14ac:dyDescent="0.3">
      <c r="A5" s="7">
        <v>44085</v>
      </c>
      <c r="B5" s="8" t="s">
        <v>17</v>
      </c>
      <c r="C5" s="8" t="s">
        <v>18</v>
      </c>
      <c r="D5" s="8" t="s">
        <v>19</v>
      </c>
      <c r="E5" s="9">
        <v>91</v>
      </c>
      <c r="F5" s="8">
        <f t="shared" si="0"/>
        <v>1000</v>
      </c>
      <c r="G5" s="8">
        <f t="shared" si="1"/>
        <v>700</v>
      </c>
      <c r="H5" s="8">
        <f t="shared" si="2"/>
        <v>91000</v>
      </c>
      <c r="I5" s="8">
        <f t="shared" si="3"/>
        <v>27300</v>
      </c>
      <c r="K5" s="8">
        <f>SUM(E2:E51)</f>
        <v>4705</v>
      </c>
    </row>
    <row r="6" spans="1:11" x14ac:dyDescent="0.3">
      <c r="A6" s="7">
        <v>44462</v>
      </c>
      <c r="B6" s="8" t="s">
        <v>20</v>
      </c>
      <c r="C6" s="8" t="s">
        <v>9</v>
      </c>
      <c r="D6" s="8" t="s">
        <v>21</v>
      </c>
      <c r="E6" s="9">
        <v>110</v>
      </c>
      <c r="F6" s="8">
        <f t="shared" si="0"/>
        <v>4000</v>
      </c>
      <c r="G6" s="8">
        <f t="shared" si="1"/>
        <v>3000</v>
      </c>
      <c r="H6" s="8">
        <f t="shared" si="2"/>
        <v>440000</v>
      </c>
      <c r="I6" s="8">
        <f t="shared" si="3"/>
        <v>110000</v>
      </c>
    </row>
    <row r="7" spans="1:11" ht="15" thickBot="1" x14ac:dyDescent="0.35">
      <c r="A7" s="7">
        <v>44105</v>
      </c>
      <c r="B7" s="8" t="s">
        <v>22</v>
      </c>
      <c r="C7" s="8" t="s">
        <v>12</v>
      </c>
      <c r="D7" s="8" t="s">
        <v>16</v>
      </c>
      <c r="E7" s="9">
        <v>51</v>
      </c>
      <c r="F7" s="8">
        <f t="shared" si="0"/>
        <v>1200</v>
      </c>
      <c r="G7" s="8">
        <f t="shared" si="1"/>
        <v>800</v>
      </c>
      <c r="H7" s="8">
        <f t="shared" si="2"/>
        <v>61200</v>
      </c>
      <c r="I7" s="8">
        <f t="shared" si="3"/>
        <v>20400</v>
      </c>
      <c r="K7" s="10" t="s">
        <v>32</v>
      </c>
    </row>
    <row r="8" spans="1:11" ht="15" thickTop="1" x14ac:dyDescent="0.3">
      <c r="A8" s="7">
        <v>44413</v>
      </c>
      <c r="B8" s="8" t="s">
        <v>23</v>
      </c>
      <c r="C8" s="8" t="s">
        <v>18</v>
      </c>
      <c r="D8" s="8" t="s">
        <v>19</v>
      </c>
      <c r="E8" s="9">
        <v>78</v>
      </c>
      <c r="F8" s="8">
        <f t="shared" si="0"/>
        <v>1000</v>
      </c>
      <c r="G8" s="8">
        <f t="shared" si="1"/>
        <v>700</v>
      </c>
      <c r="H8" s="8">
        <f t="shared" si="2"/>
        <v>78000</v>
      </c>
      <c r="I8" s="8">
        <f t="shared" si="3"/>
        <v>23400</v>
      </c>
      <c r="K8" s="8">
        <f>SUM(I2:I51)</f>
        <v>3834400</v>
      </c>
    </row>
    <row r="9" spans="1:11" x14ac:dyDescent="0.3">
      <c r="A9" s="7">
        <v>44141</v>
      </c>
      <c r="B9" s="8" t="s">
        <v>24</v>
      </c>
      <c r="C9" s="8" t="s">
        <v>15</v>
      </c>
      <c r="D9" s="8" t="s">
        <v>10</v>
      </c>
      <c r="E9" s="9">
        <v>146</v>
      </c>
      <c r="F9" s="8">
        <f t="shared" si="0"/>
        <v>6000</v>
      </c>
      <c r="G9" s="8">
        <f t="shared" si="1"/>
        <v>4000</v>
      </c>
      <c r="H9" s="8">
        <f t="shared" si="2"/>
        <v>876000</v>
      </c>
      <c r="I9" s="8">
        <f t="shared" si="3"/>
        <v>292000</v>
      </c>
    </row>
    <row r="10" spans="1:11" ht="15" thickBot="1" x14ac:dyDescent="0.35">
      <c r="A10" s="7">
        <v>44223</v>
      </c>
      <c r="B10" s="8" t="s">
        <v>25</v>
      </c>
      <c r="C10" s="8" t="s">
        <v>9</v>
      </c>
      <c r="D10" s="8" t="s">
        <v>26</v>
      </c>
      <c r="E10" s="9">
        <v>101</v>
      </c>
      <c r="F10" s="8">
        <f t="shared" si="0"/>
        <v>600</v>
      </c>
      <c r="G10" s="8">
        <f t="shared" si="1"/>
        <v>400</v>
      </c>
      <c r="H10" s="8">
        <f t="shared" si="2"/>
        <v>60600</v>
      </c>
      <c r="I10" s="8">
        <f t="shared" si="3"/>
        <v>20200</v>
      </c>
      <c r="K10" s="10" t="s">
        <v>33</v>
      </c>
    </row>
    <row r="11" spans="1:11" ht="15" thickTop="1" x14ac:dyDescent="0.3">
      <c r="A11" s="7">
        <v>44442</v>
      </c>
      <c r="B11" s="8" t="s">
        <v>27</v>
      </c>
      <c r="C11" s="8" t="s">
        <v>15</v>
      </c>
      <c r="D11" s="8" t="s">
        <v>10</v>
      </c>
      <c r="E11" s="9">
        <v>52</v>
      </c>
      <c r="F11" s="8">
        <f t="shared" si="0"/>
        <v>6000</v>
      </c>
      <c r="G11" s="8">
        <f t="shared" si="1"/>
        <v>4000</v>
      </c>
      <c r="H11" s="8">
        <f t="shared" si="2"/>
        <v>312000</v>
      </c>
      <c r="I11" s="8">
        <f t="shared" si="3"/>
        <v>104000</v>
      </c>
      <c r="K11" s="8">
        <f>AVERAGE(H4)</f>
        <v>163200</v>
      </c>
    </row>
    <row r="12" spans="1:11" x14ac:dyDescent="0.3">
      <c r="A12" s="7">
        <v>44469</v>
      </c>
      <c r="B12" s="8" t="s">
        <v>27</v>
      </c>
      <c r="C12" s="8" t="s">
        <v>12</v>
      </c>
      <c r="D12" s="8" t="s">
        <v>16</v>
      </c>
      <c r="E12" s="9">
        <v>55</v>
      </c>
      <c r="F12" s="8">
        <f t="shared" si="0"/>
        <v>1200</v>
      </c>
      <c r="G12" s="8">
        <f t="shared" si="1"/>
        <v>800</v>
      </c>
      <c r="H12" s="8">
        <f t="shared" si="2"/>
        <v>66000</v>
      </c>
      <c r="I12" s="8">
        <f t="shared" si="3"/>
        <v>22000</v>
      </c>
    </row>
    <row r="13" spans="1:11" x14ac:dyDescent="0.3">
      <c r="A13" s="7">
        <v>44084</v>
      </c>
      <c r="B13" s="8" t="s">
        <v>27</v>
      </c>
      <c r="C13" s="8" t="s">
        <v>15</v>
      </c>
      <c r="D13" s="8" t="s">
        <v>19</v>
      </c>
      <c r="E13" s="9">
        <v>137</v>
      </c>
      <c r="F13" s="8">
        <f t="shared" si="0"/>
        <v>1000</v>
      </c>
      <c r="G13" s="8">
        <f t="shared" si="1"/>
        <v>700</v>
      </c>
      <c r="H13" s="8">
        <f t="shared" si="2"/>
        <v>137000</v>
      </c>
      <c r="I13" s="8">
        <f t="shared" si="3"/>
        <v>41100</v>
      </c>
    </row>
    <row r="14" spans="1:11" x14ac:dyDescent="0.3">
      <c r="A14" s="7">
        <v>44404</v>
      </c>
      <c r="B14" s="8" t="s">
        <v>24</v>
      </c>
      <c r="C14" s="8" t="s">
        <v>15</v>
      </c>
      <c r="D14" s="8" t="s">
        <v>13</v>
      </c>
      <c r="E14" s="9">
        <v>96</v>
      </c>
      <c r="F14" s="8">
        <f t="shared" si="0"/>
        <v>3500</v>
      </c>
      <c r="G14" s="8">
        <f t="shared" si="1"/>
        <v>2500</v>
      </c>
      <c r="H14" s="8">
        <f t="shared" si="2"/>
        <v>336000</v>
      </c>
      <c r="I14" s="8">
        <f t="shared" si="3"/>
        <v>96000</v>
      </c>
    </row>
    <row r="15" spans="1:11" x14ac:dyDescent="0.3">
      <c r="A15" s="7">
        <v>44113</v>
      </c>
      <c r="B15" s="8" t="s">
        <v>25</v>
      </c>
      <c r="C15" s="8" t="s">
        <v>12</v>
      </c>
      <c r="D15" s="8" t="s">
        <v>21</v>
      </c>
      <c r="E15" s="9">
        <v>52</v>
      </c>
      <c r="F15" s="8">
        <f t="shared" si="0"/>
        <v>4000</v>
      </c>
      <c r="G15" s="8">
        <f t="shared" si="1"/>
        <v>3000</v>
      </c>
      <c r="H15" s="8">
        <f t="shared" si="2"/>
        <v>208000</v>
      </c>
      <c r="I15" s="8">
        <f t="shared" si="3"/>
        <v>52000</v>
      </c>
    </row>
    <row r="16" spans="1:11" x14ac:dyDescent="0.3">
      <c r="A16" s="7">
        <v>44292</v>
      </c>
      <c r="B16" s="8" t="s">
        <v>17</v>
      </c>
      <c r="C16" s="8" t="s">
        <v>9</v>
      </c>
      <c r="D16" s="8" t="s">
        <v>13</v>
      </c>
      <c r="E16" s="9">
        <v>76</v>
      </c>
      <c r="F16" s="8">
        <f t="shared" si="0"/>
        <v>3500</v>
      </c>
      <c r="G16" s="8">
        <f t="shared" si="1"/>
        <v>2500</v>
      </c>
      <c r="H16" s="8">
        <f t="shared" si="2"/>
        <v>266000</v>
      </c>
      <c r="I16" s="8">
        <f t="shared" si="3"/>
        <v>76000</v>
      </c>
    </row>
    <row r="17" spans="1:9" x14ac:dyDescent="0.3">
      <c r="A17" s="7">
        <v>44362</v>
      </c>
      <c r="B17" s="8" t="s">
        <v>11</v>
      </c>
      <c r="C17" s="8" t="s">
        <v>18</v>
      </c>
      <c r="D17" s="8" t="s">
        <v>21</v>
      </c>
      <c r="E17" s="9">
        <v>145</v>
      </c>
      <c r="F17" s="8">
        <f t="shared" si="0"/>
        <v>4000</v>
      </c>
      <c r="G17" s="8">
        <f t="shared" si="1"/>
        <v>3000</v>
      </c>
      <c r="H17" s="8">
        <f t="shared" si="2"/>
        <v>580000</v>
      </c>
      <c r="I17" s="8">
        <f t="shared" si="3"/>
        <v>145000</v>
      </c>
    </row>
    <row r="18" spans="1:9" x14ac:dyDescent="0.3">
      <c r="A18" s="7">
        <v>44083</v>
      </c>
      <c r="B18" s="8" t="s">
        <v>8</v>
      </c>
      <c r="C18" s="8" t="s">
        <v>15</v>
      </c>
      <c r="D18" s="8" t="s">
        <v>26</v>
      </c>
      <c r="E18" s="9">
        <v>83</v>
      </c>
      <c r="F18" s="8">
        <f t="shared" si="0"/>
        <v>600</v>
      </c>
      <c r="G18" s="8">
        <f t="shared" si="1"/>
        <v>400</v>
      </c>
      <c r="H18" s="8">
        <f t="shared" si="2"/>
        <v>49800</v>
      </c>
      <c r="I18" s="8">
        <f t="shared" si="3"/>
        <v>16600</v>
      </c>
    </row>
    <row r="19" spans="1:9" x14ac:dyDescent="0.3">
      <c r="A19" s="7">
        <v>44421</v>
      </c>
      <c r="B19" s="8" t="s">
        <v>20</v>
      </c>
      <c r="C19" s="8" t="s">
        <v>15</v>
      </c>
      <c r="D19" s="8" t="s">
        <v>19</v>
      </c>
      <c r="E19" s="9">
        <v>91</v>
      </c>
      <c r="F19" s="8">
        <f t="shared" si="0"/>
        <v>1000</v>
      </c>
      <c r="G19" s="8">
        <f t="shared" si="1"/>
        <v>700</v>
      </c>
      <c r="H19" s="8">
        <f t="shared" si="2"/>
        <v>91000</v>
      </c>
      <c r="I19" s="8">
        <f t="shared" si="3"/>
        <v>27300</v>
      </c>
    </row>
    <row r="20" spans="1:9" x14ac:dyDescent="0.3">
      <c r="A20" s="7">
        <v>44070</v>
      </c>
      <c r="B20" s="8" t="s">
        <v>22</v>
      </c>
      <c r="C20" s="8" t="s">
        <v>9</v>
      </c>
      <c r="D20" s="8" t="s">
        <v>28</v>
      </c>
      <c r="E20" s="9">
        <v>108</v>
      </c>
      <c r="F20" s="8">
        <f t="shared" si="0"/>
        <v>10000</v>
      </c>
      <c r="G20" s="8">
        <f t="shared" si="1"/>
        <v>7000</v>
      </c>
      <c r="H20" s="8">
        <f t="shared" si="2"/>
        <v>1080000</v>
      </c>
      <c r="I20" s="8">
        <f t="shared" si="3"/>
        <v>324000</v>
      </c>
    </row>
    <row r="21" spans="1:9" x14ac:dyDescent="0.3">
      <c r="A21" s="7">
        <v>44293</v>
      </c>
      <c r="B21" s="8" t="s">
        <v>14</v>
      </c>
      <c r="C21" s="8" t="s">
        <v>18</v>
      </c>
      <c r="D21" s="8" t="s">
        <v>21</v>
      </c>
      <c r="E21" s="9">
        <v>144</v>
      </c>
      <c r="F21" s="8">
        <f t="shared" si="0"/>
        <v>4000</v>
      </c>
      <c r="G21" s="8">
        <f t="shared" si="1"/>
        <v>3000</v>
      </c>
      <c r="H21" s="8">
        <f t="shared" si="2"/>
        <v>576000</v>
      </c>
      <c r="I21" s="8">
        <f t="shared" si="3"/>
        <v>144000</v>
      </c>
    </row>
    <row r="22" spans="1:9" x14ac:dyDescent="0.3">
      <c r="A22" s="7">
        <v>43990</v>
      </c>
      <c r="B22" s="8" t="s">
        <v>20</v>
      </c>
      <c r="C22" s="8" t="s">
        <v>15</v>
      </c>
      <c r="D22" s="8" t="s">
        <v>26</v>
      </c>
      <c r="E22" s="9">
        <v>92</v>
      </c>
      <c r="F22" s="8">
        <f t="shared" si="0"/>
        <v>600</v>
      </c>
      <c r="G22" s="8">
        <f t="shared" si="1"/>
        <v>400</v>
      </c>
      <c r="H22" s="8">
        <f t="shared" si="2"/>
        <v>55200</v>
      </c>
      <c r="I22" s="8">
        <f t="shared" si="3"/>
        <v>18400</v>
      </c>
    </row>
    <row r="23" spans="1:9" x14ac:dyDescent="0.3">
      <c r="A23" s="7">
        <v>44551</v>
      </c>
      <c r="B23" s="8" t="s">
        <v>24</v>
      </c>
      <c r="C23" s="8" t="s">
        <v>9</v>
      </c>
      <c r="D23" s="8" t="s">
        <v>10</v>
      </c>
      <c r="E23" s="9">
        <v>71</v>
      </c>
      <c r="F23" s="8">
        <f t="shared" si="0"/>
        <v>6000</v>
      </c>
      <c r="G23" s="8">
        <f t="shared" si="1"/>
        <v>4000</v>
      </c>
      <c r="H23" s="8">
        <f t="shared" si="2"/>
        <v>426000</v>
      </c>
      <c r="I23" s="8">
        <f t="shared" si="3"/>
        <v>142000</v>
      </c>
    </row>
    <row r="24" spans="1:9" x14ac:dyDescent="0.3">
      <c r="A24" s="7">
        <v>44418</v>
      </c>
      <c r="B24" s="8" t="s">
        <v>8</v>
      </c>
      <c r="C24" s="8" t="s">
        <v>12</v>
      </c>
      <c r="D24" s="8" t="s">
        <v>26</v>
      </c>
      <c r="E24" s="9">
        <v>103</v>
      </c>
      <c r="F24" s="8">
        <f t="shared" si="0"/>
        <v>600</v>
      </c>
      <c r="G24" s="8">
        <f t="shared" si="1"/>
        <v>400</v>
      </c>
      <c r="H24" s="8">
        <f t="shared" si="2"/>
        <v>61800</v>
      </c>
      <c r="I24" s="8">
        <f t="shared" si="3"/>
        <v>20600</v>
      </c>
    </row>
    <row r="25" spans="1:9" x14ac:dyDescent="0.3">
      <c r="A25" s="7">
        <v>44532</v>
      </c>
      <c r="B25" s="8" t="s">
        <v>27</v>
      </c>
      <c r="C25" s="8" t="s">
        <v>18</v>
      </c>
      <c r="D25" s="8" t="s">
        <v>19</v>
      </c>
      <c r="E25" s="9">
        <v>55</v>
      </c>
      <c r="F25" s="8">
        <f t="shared" si="0"/>
        <v>1000</v>
      </c>
      <c r="G25" s="8">
        <f t="shared" si="1"/>
        <v>700</v>
      </c>
      <c r="H25" s="8">
        <f t="shared" si="2"/>
        <v>55000</v>
      </c>
      <c r="I25" s="8">
        <f t="shared" si="3"/>
        <v>16500</v>
      </c>
    </row>
    <row r="26" spans="1:9" x14ac:dyDescent="0.3">
      <c r="A26" s="7">
        <v>44438</v>
      </c>
      <c r="B26" s="8" t="s">
        <v>22</v>
      </c>
      <c r="C26" s="8" t="s">
        <v>12</v>
      </c>
      <c r="D26" s="8" t="s">
        <v>21</v>
      </c>
      <c r="E26" s="9">
        <v>93</v>
      </c>
      <c r="F26" s="8">
        <f t="shared" si="0"/>
        <v>4000</v>
      </c>
      <c r="G26" s="8">
        <f t="shared" si="1"/>
        <v>3000</v>
      </c>
      <c r="H26" s="8">
        <f t="shared" si="2"/>
        <v>372000</v>
      </c>
      <c r="I26" s="8">
        <f t="shared" si="3"/>
        <v>93000</v>
      </c>
    </row>
    <row r="27" spans="1:9" x14ac:dyDescent="0.3">
      <c r="A27" s="7">
        <v>43971</v>
      </c>
      <c r="B27" s="8" t="s">
        <v>14</v>
      </c>
      <c r="C27" s="8" t="s">
        <v>15</v>
      </c>
      <c r="D27" s="8" t="s">
        <v>26</v>
      </c>
      <c r="E27" s="9">
        <v>143</v>
      </c>
      <c r="F27" s="8">
        <f t="shared" si="0"/>
        <v>600</v>
      </c>
      <c r="G27" s="8">
        <f t="shared" si="1"/>
        <v>400</v>
      </c>
      <c r="H27" s="8">
        <f t="shared" si="2"/>
        <v>85800</v>
      </c>
      <c r="I27" s="8">
        <f t="shared" si="3"/>
        <v>28600</v>
      </c>
    </row>
    <row r="28" spans="1:9" x14ac:dyDescent="0.3">
      <c r="A28" s="7">
        <v>44452</v>
      </c>
      <c r="B28" s="8" t="s">
        <v>23</v>
      </c>
      <c r="C28" s="8" t="s">
        <v>9</v>
      </c>
      <c r="D28" s="8" t="s">
        <v>13</v>
      </c>
      <c r="E28" s="9">
        <v>143</v>
      </c>
      <c r="F28" s="8">
        <f t="shared" si="0"/>
        <v>3500</v>
      </c>
      <c r="G28" s="8">
        <f t="shared" si="1"/>
        <v>2500</v>
      </c>
      <c r="H28" s="8">
        <f t="shared" si="2"/>
        <v>500500</v>
      </c>
      <c r="I28" s="8">
        <f t="shared" si="3"/>
        <v>143000</v>
      </c>
    </row>
    <row r="29" spans="1:9" x14ac:dyDescent="0.3">
      <c r="A29" s="7">
        <v>44496</v>
      </c>
      <c r="B29" s="8" t="s">
        <v>25</v>
      </c>
      <c r="C29" s="8" t="s">
        <v>18</v>
      </c>
      <c r="D29" s="8" t="s">
        <v>26</v>
      </c>
      <c r="E29" s="9">
        <v>99</v>
      </c>
      <c r="F29" s="8">
        <f t="shared" si="0"/>
        <v>600</v>
      </c>
      <c r="G29" s="8">
        <f t="shared" si="1"/>
        <v>400</v>
      </c>
      <c r="H29" s="8">
        <f t="shared" si="2"/>
        <v>59400</v>
      </c>
      <c r="I29" s="8">
        <f t="shared" si="3"/>
        <v>19800</v>
      </c>
    </row>
    <row r="30" spans="1:9" x14ac:dyDescent="0.3">
      <c r="A30" s="7">
        <v>44187</v>
      </c>
      <c r="B30" s="8" t="s">
        <v>17</v>
      </c>
      <c r="C30" s="8" t="s">
        <v>9</v>
      </c>
      <c r="D30" s="8" t="s">
        <v>19</v>
      </c>
      <c r="E30" s="9">
        <v>120</v>
      </c>
      <c r="F30" s="8">
        <f t="shared" si="0"/>
        <v>1000</v>
      </c>
      <c r="G30" s="8">
        <f t="shared" si="1"/>
        <v>700</v>
      </c>
      <c r="H30" s="8">
        <f t="shared" si="2"/>
        <v>120000</v>
      </c>
      <c r="I30" s="8">
        <f t="shared" si="3"/>
        <v>36000</v>
      </c>
    </row>
    <row r="31" spans="1:9" x14ac:dyDescent="0.3">
      <c r="A31" s="7">
        <v>44405</v>
      </c>
      <c r="B31" s="8" t="s">
        <v>11</v>
      </c>
      <c r="C31" s="8" t="s">
        <v>15</v>
      </c>
      <c r="D31" s="8" t="s">
        <v>13</v>
      </c>
      <c r="E31" s="9">
        <v>66</v>
      </c>
      <c r="F31" s="8">
        <f t="shared" si="0"/>
        <v>3500</v>
      </c>
      <c r="G31" s="8">
        <f t="shared" si="1"/>
        <v>2500</v>
      </c>
      <c r="H31" s="8">
        <f t="shared" si="2"/>
        <v>231000</v>
      </c>
      <c r="I31" s="8">
        <f t="shared" si="3"/>
        <v>66000</v>
      </c>
    </row>
    <row r="32" spans="1:9" x14ac:dyDescent="0.3">
      <c r="A32" s="7">
        <v>44103</v>
      </c>
      <c r="B32" s="8" t="s">
        <v>25</v>
      </c>
      <c r="C32" s="8" t="s">
        <v>18</v>
      </c>
      <c r="D32" s="8" t="s">
        <v>16</v>
      </c>
      <c r="E32" s="9">
        <v>88</v>
      </c>
      <c r="F32" s="8">
        <f t="shared" si="0"/>
        <v>1200</v>
      </c>
      <c r="G32" s="8">
        <f t="shared" si="1"/>
        <v>800</v>
      </c>
      <c r="H32" s="8">
        <f t="shared" si="2"/>
        <v>105600</v>
      </c>
      <c r="I32" s="8">
        <f t="shared" si="3"/>
        <v>35200</v>
      </c>
    </row>
    <row r="33" spans="1:9" x14ac:dyDescent="0.3">
      <c r="A33" s="7">
        <v>44126</v>
      </c>
      <c r="B33" s="8" t="s">
        <v>17</v>
      </c>
      <c r="C33" s="8" t="s">
        <v>12</v>
      </c>
      <c r="D33" s="8" t="s">
        <v>28</v>
      </c>
      <c r="E33" s="9">
        <v>127</v>
      </c>
      <c r="F33" s="8">
        <f t="shared" si="0"/>
        <v>10000</v>
      </c>
      <c r="G33" s="8">
        <f t="shared" si="1"/>
        <v>7000</v>
      </c>
      <c r="H33" s="8">
        <f t="shared" si="2"/>
        <v>1270000</v>
      </c>
      <c r="I33" s="8">
        <f t="shared" si="3"/>
        <v>381000</v>
      </c>
    </row>
    <row r="34" spans="1:9" x14ac:dyDescent="0.3">
      <c r="A34" s="7">
        <v>43970</v>
      </c>
      <c r="B34" s="8" t="s">
        <v>20</v>
      </c>
      <c r="C34" s="8" t="s">
        <v>9</v>
      </c>
      <c r="D34" s="8" t="s">
        <v>21</v>
      </c>
      <c r="E34" s="9">
        <v>67</v>
      </c>
      <c r="F34" s="8">
        <f t="shared" si="0"/>
        <v>4000</v>
      </c>
      <c r="G34" s="8">
        <f t="shared" si="1"/>
        <v>3000</v>
      </c>
      <c r="H34" s="8">
        <f t="shared" si="2"/>
        <v>268000</v>
      </c>
      <c r="I34" s="8">
        <f t="shared" si="3"/>
        <v>67000</v>
      </c>
    </row>
    <row r="35" spans="1:9" x14ac:dyDescent="0.3">
      <c r="A35" s="7">
        <v>44536</v>
      </c>
      <c r="B35" s="8" t="s">
        <v>11</v>
      </c>
      <c r="C35" s="8" t="s">
        <v>12</v>
      </c>
      <c r="D35" s="8" t="s">
        <v>16</v>
      </c>
      <c r="E35" s="9">
        <v>67</v>
      </c>
      <c r="F35" s="8">
        <f t="shared" si="0"/>
        <v>1200</v>
      </c>
      <c r="G35" s="8">
        <f t="shared" si="1"/>
        <v>800</v>
      </c>
      <c r="H35" s="8">
        <f t="shared" si="2"/>
        <v>80400</v>
      </c>
      <c r="I35" s="8">
        <f t="shared" si="3"/>
        <v>26800</v>
      </c>
    </row>
    <row r="36" spans="1:9" x14ac:dyDescent="0.3">
      <c r="A36" s="7">
        <v>44069</v>
      </c>
      <c r="B36" s="8" t="s">
        <v>27</v>
      </c>
      <c r="C36" s="8" t="s">
        <v>15</v>
      </c>
      <c r="D36" s="8" t="s">
        <v>19</v>
      </c>
      <c r="E36" s="9">
        <v>149</v>
      </c>
      <c r="F36" s="8">
        <f t="shared" si="0"/>
        <v>1000</v>
      </c>
      <c r="G36" s="8">
        <f t="shared" si="1"/>
        <v>700</v>
      </c>
      <c r="H36" s="8">
        <f t="shared" si="2"/>
        <v>149000</v>
      </c>
      <c r="I36" s="8">
        <f t="shared" si="3"/>
        <v>44700</v>
      </c>
    </row>
    <row r="37" spans="1:9" x14ac:dyDescent="0.3">
      <c r="A37" s="7">
        <v>44378</v>
      </c>
      <c r="B37" s="8" t="s">
        <v>20</v>
      </c>
      <c r="C37" s="8" t="s">
        <v>18</v>
      </c>
      <c r="D37" s="8" t="s">
        <v>26</v>
      </c>
      <c r="E37" s="9">
        <v>104</v>
      </c>
      <c r="F37" s="8">
        <f t="shared" si="0"/>
        <v>600</v>
      </c>
      <c r="G37" s="8">
        <f t="shared" si="1"/>
        <v>400</v>
      </c>
      <c r="H37" s="8">
        <f t="shared" si="2"/>
        <v>62400</v>
      </c>
      <c r="I37" s="8">
        <f t="shared" si="3"/>
        <v>20800</v>
      </c>
    </row>
    <row r="38" spans="1:9" x14ac:dyDescent="0.3">
      <c r="A38" s="7">
        <v>44404</v>
      </c>
      <c r="B38" s="8" t="s">
        <v>24</v>
      </c>
      <c r="C38" s="8" t="s">
        <v>9</v>
      </c>
      <c r="D38" s="8" t="s">
        <v>26</v>
      </c>
      <c r="E38" s="9">
        <v>57</v>
      </c>
      <c r="F38" s="8">
        <f t="shared" si="0"/>
        <v>600</v>
      </c>
      <c r="G38" s="8">
        <f t="shared" si="1"/>
        <v>400</v>
      </c>
      <c r="H38" s="8">
        <f t="shared" si="2"/>
        <v>34200</v>
      </c>
      <c r="I38" s="8">
        <f t="shared" si="3"/>
        <v>11400</v>
      </c>
    </row>
    <row r="39" spans="1:9" x14ac:dyDescent="0.3">
      <c r="A39" s="7">
        <v>44109</v>
      </c>
      <c r="B39" s="8" t="s">
        <v>14</v>
      </c>
      <c r="C39" s="8" t="s">
        <v>12</v>
      </c>
      <c r="D39" s="8" t="s">
        <v>26</v>
      </c>
      <c r="E39" s="9">
        <v>90</v>
      </c>
      <c r="F39" s="8">
        <f t="shared" si="0"/>
        <v>600</v>
      </c>
      <c r="G39" s="8">
        <f t="shared" si="1"/>
        <v>400</v>
      </c>
      <c r="H39" s="8">
        <f t="shared" si="2"/>
        <v>54000</v>
      </c>
      <c r="I39" s="8">
        <f t="shared" si="3"/>
        <v>18000</v>
      </c>
    </row>
    <row r="40" spans="1:9" x14ac:dyDescent="0.3">
      <c r="A40" s="7">
        <v>44076</v>
      </c>
      <c r="B40" s="8" t="s">
        <v>22</v>
      </c>
      <c r="C40" s="8" t="s">
        <v>15</v>
      </c>
      <c r="D40" s="8" t="s">
        <v>26</v>
      </c>
      <c r="E40" s="9">
        <v>67</v>
      </c>
      <c r="F40" s="8">
        <f t="shared" si="0"/>
        <v>600</v>
      </c>
      <c r="G40" s="8">
        <f t="shared" si="1"/>
        <v>400</v>
      </c>
      <c r="H40" s="8">
        <f t="shared" si="2"/>
        <v>40200</v>
      </c>
      <c r="I40" s="8">
        <f t="shared" si="3"/>
        <v>13400</v>
      </c>
    </row>
    <row r="41" spans="1:9" x14ac:dyDescent="0.3">
      <c r="A41" s="7">
        <v>44441</v>
      </c>
      <c r="B41" s="8" t="s">
        <v>8</v>
      </c>
      <c r="C41" s="8" t="s">
        <v>18</v>
      </c>
      <c r="D41" s="8" t="s">
        <v>21</v>
      </c>
      <c r="E41" s="9">
        <v>127</v>
      </c>
      <c r="F41" s="8">
        <f t="shared" si="0"/>
        <v>4000</v>
      </c>
      <c r="G41" s="8">
        <f t="shared" si="1"/>
        <v>3000</v>
      </c>
      <c r="H41" s="8">
        <f t="shared" si="2"/>
        <v>508000</v>
      </c>
      <c r="I41" s="8">
        <f t="shared" si="3"/>
        <v>127000</v>
      </c>
    </row>
    <row r="42" spans="1:9" x14ac:dyDescent="0.3">
      <c r="A42" s="7">
        <v>44299</v>
      </c>
      <c r="B42" s="8" t="s">
        <v>22</v>
      </c>
      <c r="C42" s="8" t="s">
        <v>9</v>
      </c>
      <c r="D42" s="8" t="s">
        <v>19</v>
      </c>
      <c r="E42" s="9">
        <v>108</v>
      </c>
      <c r="F42" s="8">
        <f t="shared" si="0"/>
        <v>1000</v>
      </c>
      <c r="G42" s="8">
        <f t="shared" si="1"/>
        <v>700</v>
      </c>
      <c r="H42" s="8">
        <f t="shared" si="2"/>
        <v>108000</v>
      </c>
      <c r="I42" s="8">
        <f t="shared" si="3"/>
        <v>32400</v>
      </c>
    </row>
    <row r="43" spans="1:9" x14ac:dyDescent="0.3">
      <c r="A43" s="7">
        <v>44322</v>
      </c>
      <c r="B43" s="8" t="s">
        <v>14</v>
      </c>
      <c r="C43" s="8" t="s">
        <v>12</v>
      </c>
      <c r="D43" s="8" t="s">
        <v>13</v>
      </c>
      <c r="E43" s="9">
        <v>66</v>
      </c>
      <c r="F43" s="8">
        <f t="shared" si="0"/>
        <v>3500</v>
      </c>
      <c r="G43" s="8">
        <f t="shared" si="1"/>
        <v>2500</v>
      </c>
      <c r="H43" s="8">
        <f t="shared" si="2"/>
        <v>231000</v>
      </c>
      <c r="I43" s="8">
        <f t="shared" si="3"/>
        <v>66000</v>
      </c>
    </row>
    <row r="44" spans="1:9" x14ac:dyDescent="0.3">
      <c r="A44" s="7">
        <v>44211</v>
      </c>
      <c r="B44" s="8" t="s">
        <v>8</v>
      </c>
      <c r="C44" s="8" t="s">
        <v>18</v>
      </c>
      <c r="D44" s="8" t="s">
        <v>10</v>
      </c>
      <c r="E44" s="9">
        <v>78</v>
      </c>
      <c r="F44" s="8">
        <f t="shared" si="0"/>
        <v>6000</v>
      </c>
      <c r="G44" s="8">
        <f t="shared" si="1"/>
        <v>4000</v>
      </c>
      <c r="H44" s="8">
        <f t="shared" si="2"/>
        <v>468000</v>
      </c>
      <c r="I44" s="8">
        <f t="shared" si="3"/>
        <v>156000</v>
      </c>
    </row>
    <row r="45" spans="1:9" x14ac:dyDescent="0.3">
      <c r="A45" s="7">
        <v>44070</v>
      </c>
      <c r="B45" s="8" t="s">
        <v>24</v>
      </c>
      <c r="C45" s="8" t="s">
        <v>15</v>
      </c>
      <c r="D45" s="8" t="s">
        <v>19</v>
      </c>
      <c r="E45" s="9">
        <v>69</v>
      </c>
      <c r="F45" s="8">
        <f t="shared" si="0"/>
        <v>1000</v>
      </c>
      <c r="G45" s="8">
        <f t="shared" si="1"/>
        <v>700</v>
      </c>
      <c r="H45" s="8">
        <f t="shared" si="2"/>
        <v>69000</v>
      </c>
      <c r="I45" s="8">
        <f t="shared" si="3"/>
        <v>20700</v>
      </c>
    </row>
    <row r="46" spans="1:9" x14ac:dyDescent="0.3">
      <c r="A46" s="7">
        <v>44232</v>
      </c>
      <c r="B46" s="8" t="s">
        <v>20</v>
      </c>
      <c r="C46" s="8" t="s">
        <v>9</v>
      </c>
      <c r="D46" s="8" t="s">
        <v>16</v>
      </c>
      <c r="E46" s="9">
        <v>59</v>
      </c>
      <c r="F46" s="8">
        <f t="shared" si="0"/>
        <v>1200</v>
      </c>
      <c r="G46" s="8">
        <f t="shared" si="1"/>
        <v>800</v>
      </c>
      <c r="H46" s="8">
        <f t="shared" si="2"/>
        <v>70800</v>
      </c>
      <c r="I46" s="8">
        <f t="shared" si="3"/>
        <v>23600</v>
      </c>
    </row>
    <row r="47" spans="1:9" x14ac:dyDescent="0.3">
      <c r="A47" s="7">
        <v>44517</v>
      </c>
      <c r="B47" s="8" t="s">
        <v>27</v>
      </c>
      <c r="C47" s="8" t="s">
        <v>15</v>
      </c>
      <c r="D47" s="8" t="s">
        <v>26</v>
      </c>
      <c r="E47" s="9">
        <v>109</v>
      </c>
      <c r="F47" s="8">
        <f t="shared" si="0"/>
        <v>600</v>
      </c>
      <c r="G47" s="8">
        <f t="shared" si="1"/>
        <v>400</v>
      </c>
      <c r="H47" s="8">
        <f t="shared" si="2"/>
        <v>65400</v>
      </c>
      <c r="I47" s="8">
        <f t="shared" si="3"/>
        <v>21800</v>
      </c>
    </row>
    <row r="48" spans="1:9" x14ac:dyDescent="0.3">
      <c r="A48" s="7">
        <v>44193</v>
      </c>
      <c r="B48" s="8" t="s">
        <v>25</v>
      </c>
      <c r="C48" s="8" t="s">
        <v>12</v>
      </c>
      <c r="D48" s="8" t="s">
        <v>21</v>
      </c>
      <c r="E48" s="9">
        <v>61</v>
      </c>
      <c r="F48" s="8">
        <f t="shared" si="0"/>
        <v>4000</v>
      </c>
      <c r="G48" s="8">
        <f t="shared" si="1"/>
        <v>3000</v>
      </c>
      <c r="H48" s="8">
        <f t="shared" si="2"/>
        <v>244000</v>
      </c>
      <c r="I48" s="8">
        <f t="shared" si="3"/>
        <v>61000</v>
      </c>
    </row>
    <row r="49" spans="1:9" x14ac:dyDescent="0.3">
      <c r="A49" s="7">
        <v>44496</v>
      </c>
      <c r="B49" s="8" t="s">
        <v>20</v>
      </c>
      <c r="C49" s="8" t="s">
        <v>18</v>
      </c>
      <c r="D49" s="8" t="s">
        <v>26</v>
      </c>
      <c r="E49" s="9">
        <v>130</v>
      </c>
      <c r="F49" s="8">
        <f t="shared" si="0"/>
        <v>600</v>
      </c>
      <c r="G49" s="8">
        <f t="shared" si="1"/>
        <v>400</v>
      </c>
      <c r="H49" s="8">
        <f t="shared" si="2"/>
        <v>78000</v>
      </c>
      <c r="I49" s="8">
        <f t="shared" si="3"/>
        <v>26000</v>
      </c>
    </row>
    <row r="50" spans="1:9" x14ac:dyDescent="0.3">
      <c r="A50" s="7">
        <v>44502</v>
      </c>
      <c r="B50" s="8" t="s">
        <v>17</v>
      </c>
      <c r="C50" s="8" t="s">
        <v>15</v>
      </c>
      <c r="D50" s="8" t="s">
        <v>13</v>
      </c>
      <c r="E50" s="9">
        <v>60</v>
      </c>
      <c r="F50" s="8">
        <f t="shared" si="0"/>
        <v>3500</v>
      </c>
      <c r="G50" s="8">
        <f t="shared" si="1"/>
        <v>2500</v>
      </c>
      <c r="H50" s="8">
        <f t="shared" si="2"/>
        <v>210000</v>
      </c>
      <c r="I50" s="8">
        <f t="shared" si="3"/>
        <v>60000</v>
      </c>
    </row>
    <row r="51" spans="1:9" x14ac:dyDescent="0.3">
      <c r="A51" s="7">
        <v>43958</v>
      </c>
      <c r="B51" s="8" t="s">
        <v>11</v>
      </c>
      <c r="C51" s="8" t="s">
        <v>12</v>
      </c>
      <c r="D51" s="8" t="s">
        <v>10</v>
      </c>
      <c r="E51" s="9">
        <v>73</v>
      </c>
      <c r="F51" s="8">
        <f t="shared" si="0"/>
        <v>6000</v>
      </c>
      <c r="G51" s="8">
        <f t="shared" si="1"/>
        <v>4000</v>
      </c>
      <c r="H51" s="8">
        <f t="shared" si="2"/>
        <v>438000</v>
      </c>
      <c r="I51" s="8">
        <f t="shared" si="3"/>
        <v>146000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DSH</vt:lpstr>
      <vt:lpstr>PIVOT CHART</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Ruban Arul Doss Sakko</cp:lastModifiedBy>
  <dcterms:created xsi:type="dcterms:W3CDTF">2024-05-30T14:35:02Z</dcterms:created>
  <dcterms:modified xsi:type="dcterms:W3CDTF">2025-09-25T15:38:57Z</dcterms:modified>
</cp:coreProperties>
</file>